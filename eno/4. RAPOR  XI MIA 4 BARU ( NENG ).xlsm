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omments4.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ctrlProps/ctrlProp2.xml" ContentType="application/vnd.ms-excel.controlproperties+xml"/>
  <Override PartName="/xl/drawings/drawing24.xml" ContentType="application/vnd.openxmlformats-officedocument.drawing+xml"/>
  <Override PartName="/xl/ctrlProps/ctrlProp3.xml" ContentType="application/vnd.ms-excel.controlproperties+xml"/>
  <Override PartName="/xl/comments5.xml" ContentType="application/vnd.openxmlformats-officedocument.spreadsheetml.comments+xml"/>
  <Override PartName="/xl/drawings/drawing25.xml" ContentType="application/vnd.openxmlformats-officedocument.drawing+xml"/>
  <Override PartName="/xl/ctrlProps/ctrlProp4.xml" ContentType="application/vnd.ms-excel.controlproperties+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data rini\RAPOR KELAS XII YG DIEDIT 2016\RAPOR DPERBAIKI OLEH DINA\RAPOR XI 2014-2015 PERBAIKAN sudah ok\RAPOR XI MIPA.4\"/>
    </mc:Choice>
  </mc:AlternateContent>
  <bookViews>
    <workbookView xWindow="120" yWindow="105" windowWidth="15240" windowHeight="7440" tabRatio="934" firstSheet="15" activeTab="27"/>
  </bookViews>
  <sheets>
    <sheet name="UTAMA" sheetId="36" r:id="rId1"/>
    <sheet name="DataGuru" sheetId="2" r:id="rId2"/>
    <sheet name="DataSiswa" sheetId="50" r:id="rId3"/>
    <sheet name="Ekskur" sheetId="34" r:id="rId4"/>
    <sheet name="NILAI" sheetId="30" state="hidden" r:id="rId5"/>
    <sheet name="Absen" sheetId="27" r:id="rId6"/>
    <sheet name="AG" sheetId="8" r:id="rId7"/>
    <sheet name="PPKN" sheetId="9" r:id="rId8"/>
    <sheet name="B.ind" sheetId="10" r:id="rId9"/>
    <sheet name="Mat W" sheetId="12" r:id="rId10"/>
    <sheet name="Sej" sheetId="16" r:id="rId11"/>
    <sheet name="B.Ing" sheetId="11" r:id="rId12"/>
    <sheet name="Seni" sheetId="20" r:id="rId13"/>
    <sheet name="Jas" sheetId="21" r:id="rId14"/>
    <sheet name="Pra" sheetId="22" r:id="rId15"/>
    <sheet name="Mat P" sheetId="13" r:id="rId16"/>
    <sheet name="Bio" sheetId="14" r:id="rId17"/>
    <sheet name="Fis" sheetId="15" r:id="rId18"/>
    <sheet name="Kim" sheetId="17" r:id="rId19"/>
    <sheet name="Eko (LM)" sheetId="18" r:id="rId20"/>
    <sheet name="Lin2" sheetId="44" r:id="rId21"/>
    <sheet name="KEP" sheetId="43" r:id="rId22"/>
    <sheet name="Sampul" sheetId="51" r:id="rId23"/>
    <sheet name="Petunjuk" sheetId="52" r:id="rId24"/>
    <sheet name="DIRI" sheetId="31" r:id="rId25"/>
    <sheet name="RAP13" sheetId="37" r:id="rId26"/>
    <sheet name="Deskripsi" sheetId="48" r:id="rId27"/>
    <sheet name="LEGER" sheetId="41" r:id="rId28"/>
    <sheet name="RANK" sheetId="25" r:id="rId29"/>
    <sheet name="Kon" sheetId="47" state="hidden" r:id="rId30"/>
    <sheet name="Photo" sheetId="49" r:id="rId31"/>
    <sheet name="Data Sekolah" sheetId="53" r:id="rId32"/>
    <sheet name="Sheet1" sheetId="54" r:id="rId33"/>
  </sheets>
  <externalReferences>
    <externalReference r:id="rId34"/>
    <externalReference r:id="rId35"/>
  </externalReferences>
  <definedNames>
    <definedName name="agmx1">[1]agm!$D$1:$G$65536</definedName>
    <definedName name="bindx1">[1]BInd!$D$1:$G$65536</definedName>
    <definedName name="bingx1">[1]BinG!$D$1:$G$65536</definedName>
    <definedName name="bioguru">[1]Bio_Guru!$A$1:$E$65536</definedName>
    <definedName name="bionisnama">[1]Biodata!$B$1:$E$65536</definedName>
    <definedName name="biononis">[1]Biodata!$A$1:$E$65536</definedName>
    <definedName name="legger">[1]LEGER!$B$1:$AG$65536</definedName>
    <definedName name="leggerx">[1]LEGER!$E$11:$AG$136</definedName>
    <definedName name="min1x1">[1]min1!$D$1:$G$65536</definedName>
    <definedName name="min2x1">[1]min2!$D$1:$G$65536</definedName>
    <definedName name="min3x1">[1]min3!$D$1:$G$65536</definedName>
    <definedName name="min4x1">[1]min4!$D$1:$G$65536</definedName>
    <definedName name="min5x1">[1]min5!$D$1:$G$65536</definedName>
    <definedName name="min6x1">[1]min6!$D$1:$G$65536</definedName>
    <definedName name="mtkx1">[1]Mtk!$D$1:$G$65536</definedName>
    <definedName name="nilkonv">[1]NilKon!$B$1:$G$65536</definedName>
    <definedName name="nomor">#REF!</definedName>
    <definedName name="penjasx1">[1]penjs!$D$1:$G$65536</definedName>
    <definedName name="piyek">INDEX(Photo!$G$6:$G$45,MATCH(DIRI!$M$5,Photo!$C$6:$C$45,0))</definedName>
    <definedName name="pknx1">[1]pkn!$D$1:$G$65536</definedName>
    <definedName name="pnkx1">'[1]P&amp;K'!$D$1:$G$65536</definedName>
    <definedName name="_xlnm.Print_Area" localSheetId="5">Absen!$C$3:$J$48</definedName>
    <definedName name="_xlnm.Print_Area" localSheetId="6">AG!$B$1:$L$53</definedName>
    <definedName name="_xlnm.Print_Area" localSheetId="26">Deskripsi!$C$3:$H$76</definedName>
    <definedName name="_xlnm.Print_Area" localSheetId="24">DIRI!$A$2:$L$38</definedName>
    <definedName name="_xlnm.Print_Area" localSheetId="21">KEP!$C$4:$F$48</definedName>
    <definedName name="_xlnm.Print_Area" localSheetId="27">LEGER!$C$3:$Y$130</definedName>
    <definedName name="_xlnm.Print_Area" localSheetId="28">RANK!$C$4:$G$47</definedName>
    <definedName name="_xlnm.Print_Area" localSheetId="25">'RAP13'!$C$3:$N$63</definedName>
    <definedName name="Range_BiodataSiswa1">[2]DataSiswa!$C$6:$Z$45</definedName>
    <definedName name="sejux1">[1]Sej_U!$D$1:$G$65536</definedName>
    <definedName name="senix1">[1]seni!$D$1:$G$65536</definedName>
  </definedNames>
  <calcPr calcId="152511"/>
</workbook>
</file>

<file path=xl/calcChain.xml><?xml version="1.0" encoding="utf-8"?>
<calcChain xmlns="http://schemas.openxmlformats.org/spreadsheetml/2006/main">
  <c r="H15" i="12" l="1"/>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45" i="10"/>
  <c r="H45" i="8"/>
  <c r="C24" i="13" l="1"/>
  <c r="D24" i="13"/>
  <c r="H24" i="13"/>
  <c r="I24" i="13"/>
  <c r="C25" i="13"/>
  <c r="D25" i="13"/>
  <c r="H25" i="13"/>
  <c r="I25" i="13"/>
  <c r="C26" i="13"/>
  <c r="D26" i="13"/>
  <c r="H26" i="13"/>
  <c r="I26" i="13"/>
  <c r="C27" i="13"/>
  <c r="D27" i="13"/>
  <c r="H27" i="13"/>
  <c r="I27" i="13"/>
  <c r="C28" i="13"/>
  <c r="D28" i="13"/>
  <c r="H28" i="13"/>
  <c r="I28" i="13"/>
  <c r="C29" i="13"/>
  <c r="D29" i="13"/>
  <c r="H29" i="13"/>
  <c r="I29" i="13"/>
  <c r="C30" i="13"/>
  <c r="D30" i="13"/>
  <c r="H30" i="13"/>
  <c r="I30" i="13"/>
  <c r="C31" i="13"/>
  <c r="D31" i="13"/>
  <c r="H31" i="13"/>
  <c r="I31" i="13"/>
  <c r="C32" i="13"/>
  <c r="D32" i="13"/>
  <c r="H32" i="13"/>
  <c r="I32" i="13"/>
  <c r="C33" i="13"/>
  <c r="D33" i="13"/>
  <c r="H33" i="13"/>
  <c r="I33" i="13"/>
  <c r="C34" i="13"/>
  <c r="D34" i="13"/>
  <c r="H34" i="13"/>
  <c r="I34" i="13"/>
  <c r="C35" i="13"/>
  <c r="D35" i="13"/>
  <c r="H35" i="13"/>
  <c r="I35" i="13"/>
  <c r="C36" i="13"/>
  <c r="D36" i="13"/>
  <c r="H36" i="13"/>
  <c r="I36" i="13"/>
  <c r="C37" i="13"/>
  <c r="D37" i="13"/>
  <c r="H37" i="13"/>
  <c r="I37" i="13"/>
  <c r="C38" i="13"/>
  <c r="D38" i="13"/>
  <c r="H38" i="13"/>
  <c r="I38" i="13"/>
  <c r="C39" i="13"/>
  <c r="D39" i="13"/>
  <c r="H39" i="13"/>
  <c r="I39" i="13"/>
  <c r="C40" i="13"/>
  <c r="D40" i="13"/>
  <c r="H40" i="13"/>
  <c r="I40" i="13"/>
  <c r="C41" i="13"/>
  <c r="D41" i="13"/>
  <c r="H41" i="13"/>
  <c r="I41" i="13"/>
  <c r="C42" i="13"/>
  <c r="D42" i="13"/>
  <c r="H42" i="13"/>
  <c r="I42" i="13"/>
  <c r="C43" i="13"/>
  <c r="D43" i="13"/>
  <c r="H43" i="13"/>
  <c r="I43" i="13"/>
  <c r="C44" i="13"/>
  <c r="D44" i="13"/>
  <c r="H44" i="13"/>
  <c r="I44" i="13"/>
  <c r="C45" i="13"/>
  <c r="D45" i="13"/>
  <c r="H45" i="13"/>
  <c r="I45" i="13"/>
  <c r="C46" i="13"/>
  <c r="D46" i="13"/>
  <c r="H46" i="13"/>
  <c r="I46" i="13"/>
  <c r="C47" i="13"/>
  <c r="D47" i="13"/>
  <c r="H47" i="13"/>
  <c r="I47" i="13"/>
  <c r="C48" i="13"/>
  <c r="D48" i="13"/>
  <c r="H48" i="13"/>
  <c r="I48" i="13"/>
  <c r="C49" i="13"/>
  <c r="D49" i="13"/>
  <c r="H49" i="13"/>
  <c r="I49" i="13"/>
  <c r="C50" i="13"/>
  <c r="D50" i="13"/>
  <c r="H50" i="13"/>
  <c r="I50" i="13"/>
  <c r="C51" i="13"/>
  <c r="D51" i="13"/>
  <c r="H51" i="13"/>
  <c r="I51" i="13"/>
  <c r="C52" i="13"/>
  <c r="D52" i="13"/>
  <c r="H52" i="13"/>
  <c r="I52" i="13"/>
  <c r="C53" i="13"/>
  <c r="D53" i="13"/>
  <c r="H53" i="13"/>
  <c r="I53" i="13"/>
  <c r="A20" i="51" l="1"/>
  <c r="J12" i="27" l="1"/>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G5" i="48" l="1"/>
  <c r="G3" i="48"/>
  <c r="G4" i="48"/>
  <c r="E42" i="34" l="1"/>
  <c r="E43" i="34"/>
  <c r="E44" i="34"/>
  <c r="A22" i="51" l="1"/>
  <c r="A18" i="51"/>
  <c r="F9" i="44" l="1"/>
  <c r="H15" i="44" l="1"/>
  <c r="I15" i="44"/>
  <c r="H16" i="44"/>
  <c r="I16" i="44"/>
  <c r="H17" i="44"/>
  <c r="I17" i="44"/>
  <c r="H18" i="44"/>
  <c r="I18" i="44"/>
  <c r="H19" i="44"/>
  <c r="I19" i="44"/>
  <c r="H20" i="44"/>
  <c r="I20" i="44"/>
  <c r="H21" i="44"/>
  <c r="I21" i="44"/>
  <c r="H22" i="44"/>
  <c r="I22" i="44"/>
  <c r="H23" i="44"/>
  <c r="I23" i="44"/>
  <c r="H24" i="44"/>
  <c r="I24" i="44"/>
  <c r="H25" i="44"/>
  <c r="I25" i="44"/>
  <c r="H26" i="44"/>
  <c r="I26" i="44"/>
  <c r="H27" i="44"/>
  <c r="I27" i="44"/>
  <c r="H28" i="44"/>
  <c r="I28" i="44"/>
  <c r="H29" i="44"/>
  <c r="I29" i="44"/>
  <c r="H30" i="44"/>
  <c r="I30" i="44"/>
  <c r="H31" i="44"/>
  <c r="I31" i="44"/>
  <c r="H32" i="44"/>
  <c r="I32" i="44"/>
  <c r="H33" i="44"/>
  <c r="I33" i="44"/>
  <c r="H34" i="44"/>
  <c r="I34" i="44"/>
  <c r="H35" i="44"/>
  <c r="I35" i="44"/>
  <c r="H36" i="44"/>
  <c r="I36" i="44"/>
  <c r="H37" i="44"/>
  <c r="I37" i="44"/>
  <c r="H38" i="44"/>
  <c r="I38" i="44"/>
  <c r="H39" i="44"/>
  <c r="I39" i="44"/>
  <c r="H40" i="44"/>
  <c r="I40" i="44"/>
  <c r="H41" i="44"/>
  <c r="I41" i="44"/>
  <c r="H42" i="44"/>
  <c r="I42" i="44"/>
  <c r="H43" i="44"/>
  <c r="I43" i="44"/>
  <c r="H44" i="44"/>
  <c r="I44" i="44"/>
  <c r="H45" i="44"/>
  <c r="I45" i="44"/>
  <c r="H46" i="44"/>
  <c r="I46" i="44"/>
  <c r="H47" i="44"/>
  <c r="I47" i="44"/>
  <c r="H48" i="44"/>
  <c r="I48" i="44"/>
  <c r="H49" i="44"/>
  <c r="I49" i="44"/>
  <c r="H50" i="44"/>
  <c r="I50" i="44"/>
  <c r="H51" i="44"/>
  <c r="I51" i="44"/>
  <c r="H52" i="44"/>
  <c r="I52" i="44"/>
  <c r="H53" i="44"/>
  <c r="I53" i="44"/>
  <c r="H15" i="18"/>
  <c r="I15" i="18"/>
  <c r="H16" i="18"/>
  <c r="I16" i="18"/>
  <c r="H17" i="18"/>
  <c r="I17" i="18"/>
  <c r="H18" i="18"/>
  <c r="I18" i="18"/>
  <c r="H19" i="18"/>
  <c r="I19" i="18"/>
  <c r="H20" i="18"/>
  <c r="I20" i="18"/>
  <c r="H21" i="18"/>
  <c r="I21" i="18"/>
  <c r="H22" i="18"/>
  <c r="I22" i="18"/>
  <c r="H23" i="18"/>
  <c r="I23" i="18"/>
  <c r="H24" i="18"/>
  <c r="I24" i="18"/>
  <c r="H25" i="18"/>
  <c r="I25" i="18"/>
  <c r="H26" i="18"/>
  <c r="I26" i="18"/>
  <c r="H27" i="18"/>
  <c r="I27" i="18"/>
  <c r="H28" i="18"/>
  <c r="I28" i="18"/>
  <c r="H29" i="18"/>
  <c r="I29" i="18"/>
  <c r="H30" i="18"/>
  <c r="I30" i="18"/>
  <c r="H31" i="18"/>
  <c r="I31" i="18"/>
  <c r="H32" i="18"/>
  <c r="I32" i="18"/>
  <c r="H33" i="18"/>
  <c r="I33" i="18"/>
  <c r="H34" i="18"/>
  <c r="I34" i="18"/>
  <c r="H35" i="18"/>
  <c r="I35" i="18"/>
  <c r="H36" i="18"/>
  <c r="I36" i="18"/>
  <c r="H37" i="18"/>
  <c r="I37" i="18"/>
  <c r="H38" i="18"/>
  <c r="I38" i="18"/>
  <c r="H39" i="18"/>
  <c r="I39" i="18"/>
  <c r="H40" i="18"/>
  <c r="I40" i="18"/>
  <c r="H41" i="18"/>
  <c r="I41" i="18"/>
  <c r="H42" i="18"/>
  <c r="I42" i="18"/>
  <c r="H43" i="18"/>
  <c r="I43" i="18"/>
  <c r="H44" i="18"/>
  <c r="I44" i="18"/>
  <c r="H45" i="18"/>
  <c r="I45" i="18"/>
  <c r="H46" i="18"/>
  <c r="I46" i="18"/>
  <c r="H47" i="18"/>
  <c r="I47" i="18"/>
  <c r="H48" i="18"/>
  <c r="I48" i="18"/>
  <c r="H49" i="18"/>
  <c r="I49" i="18"/>
  <c r="H50" i="18"/>
  <c r="I50" i="18"/>
  <c r="H51" i="18"/>
  <c r="I51" i="18"/>
  <c r="H52" i="18"/>
  <c r="I52" i="18"/>
  <c r="H53" i="18"/>
  <c r="I53" i="18"/>
  <c r="H15" i="17"/>
  <c r="I15" i="17"/>
  <c r="H16" i="17"/>
  <c r="I16" i="17"/>
  <c r="H17" i="17"/>
  <c r="I17" i="17"/>
  <c r="H18" i="17"/>
  <c r="I18" i="17"/>
  <c r="H19" i="17"/>
  <c r="I19" i="17"/>
  <c r="H20" i="17"/>
  <c r="I20" i="17"/>
  <c r="H21" i="17"/>
  <c r="I21" i="17"/>
  <c r="H22" i="17"/>
  <c r="I22" i="17"/>
  <c r="H23" i="17"/>
  <c r="I23" i="17"/>
  <c r="H24" i="17"/>
  <c r="I24" i="17"/>
  <c r="H25" i="17"/>
  <c r="I25" i="17"/>
  <c r="H26" i="17"/>
  <c r="I26" i="17"/>
  <c r="H27" i="17"/>
  <c r="I27" i="17"/>
  <c r="H28" i="17"/>
  <c r="I28" i="17"/>
  <c r="H29" i="17"/>
  <c r="I29" i="17"/>
  <c r="H30" i="17"/>
  <c r="I30" i="17"/>
  <c r="H31" i="17"/>
  <c r="I31" i="17"/>
  <c r="H32" i="17"/>
  <c r="I32" i="17"/>
  <c r="H33" i="17"/>
  <c r="I33" i="17"/>
  <c r="H34" i="17"/>
  <c r="I34" i="17"/>
  <c r="H35" i="17"/>
  <c r="I35" i="17"/>
  <c r="H36" i="17"/>
  <c r="I36" i="17"/>
  <c r="H37" i="17"/>
  <c r="I37" i="17"/>
  <c r="H38" i="17"/>
  <c r="I38" i="17"/>
  <c r="H39" i="17"/>
  <c r="I39" i="17"/>
  <c r="H40" i="17"/>
  <c r="I40" i="17"/>
  <c r="H41" i="17"/>
  <c r="I41" i="17"/>
  <c r="H42" i="17"/>
  <c r="I42" i="17"/>
  <c r="H43" i="17"/>
  <c r="I43" i="17"/>
  <c r="H44" i="17"/>
  <c r="I44" i="17"/>
  <c r="H45" i="17"/>
  <c r="I45" i="17"/>
  <c r="H46" i="17"/>
  <c r="I46" i="17"/>
  <c r="H47" i="17"/>
  <c r="I47" i="17"/>
  <c r="H48" i="17"/>
  <c r="I48" i="17"/>
  <c r="H49" i="17"/>
  <c r="I49" i="17"/>
  <c r="H50" i="17"/>
  <c r="I50" i="17"/>
  <c r="H51" i="17"/>
  <c r="I51" i="17"/>
  <c r="H52" i="17"/>
  <c r="I52" i="17"/>
  <c r="H53" i="17"/>
  <c r="I53" i="17"/>
  <c r="D30" i="44"/>
  <c r="F9" i="18"/>
  <c r="F9" i="14"/>
  <c r="F9" i="15"/>
  <c r="F9" i="17"/>
  <c r="H15" i="15"/>
  <c r="I15" i="15"/>
  <c r="H16" i="15"/>
  <c r="I16" i="15"/>
  <c r="H17" i="15"/>
  <c r="I17" i="15"/>
  <c r="H18" i="15"/>
  <c r="I18" i="15"/>
  <c r="H19" i="15"/>
  <c r="I19" i="15"/>
  <c r="H20" i="15"/>
  <c r="I20" i="15"/>
  <c r="H21" i="15"/>
  <c r="I21" i="15"/>
  <c r="H22" i="15"/>
  <c r="I22" i="15"/>
  <c r="H23" i="15"/>
  <c r="I23" i="15"/>
  <c r="H24" i="15"/>
  <c r="I24" i="15"/>
  <c r="H25" i="15"/>
  <c r="I25" i="15"/>
  <c r="H26" i="15"/>
  <c r="I26" i="15"/>
  <c r="H27" i="15"/>
  <c r="I27" i="15"/>
  <c r="H28" i="15"/>
  <c r="I28" i="15"/>
  <c r="H29" i="15"/>
  <c r="I29" i="15"/>
  <c r="H30" i="15"/>
  <c r="I30" i="15"/>
  <c r="H31" i="15"/>
  <c r="I31" i="15"/>
  <c r="H32" i="15"/>
  <c r="I32" i="15"/>
  <c r="H33" i="15"/>
  <c r="I33" i="15"/>
  <c r="H34" i="15"/>
  <c r="I34" i="15"/>
  <c r="H35" i="15"/>
  <c r="I35" i="15"/>
  <c r="H36" i="15"/>
  <c r="I36" i="15"/>
  <c r="H37" i="15"/>
  <c r="I37" i="15"/>
  <c r="H38" i="15"/>
  <c r="I38" i="15"/>
  <c r="H39" i="15"/>
  <c r="I39" i="15"/>
  <c r="H40" i="15"/>
  <c r="I40" i="15"/>
  <c r="H41" i="15"/>
  <c r="I41" i="15"/>
  <c r="H42" i="15"/>
  <c r="I42" i="15"/>
  <c r="H43" i="15"/>
  <c r="I43" i="15"/>
  <c r="H44" i="15"/>
  <c r="I44" i="15"/>
  <c r="H45" i="15"/>
  <c r="I45" i="15"/>
  <c r="H46" i="15"/>
  <c r="I46" i="15"/>
  <c r="H47" i="15"/>
  <c r="I47" i="15"/>
  <c r="H48" i="15"/>
  <c r="I48" i="15"/>
  <c r="H49" i="15"/>
  <c r="I49" i="15"/>
  <c r="H50" i="15"/>
  <c r="I50" i="15"/>
  <c r="H51" i="15"/>
  <c r="I51" i="15"/>
  <c r="H52" i="15"/>
  <c r="I52" i="15"/>
  <c r="H53" i="15"/>
  <c r="I53" i="15"/>
  <c r="H15" i="14"/>
  <c r="I15" i="14"/>
  <c r="H16" i="14"/>
  <c r="I16" i="14"/>
  <c r="H17" i="14"/>
  <c r="I17" i="14"/>
  <c r="H18" i="14"/>
  <c r="I18" i="14"/>
  <c r="H19" i="14"/>
  <c r="I19" i="14"/>
  <c r="H20" i="14"/>
  <c r="I20" i="14"/>
  <c r="H21" i="14"/>
  <c r="I21" i="14"/>
  <c r="H22" i="14"/>
  <c r="I22" i="14"/>
  <c r="H23" i="14"/>
  <c r="I23" i="14"/>
  <c r="H24" i="14"/>
  <c r="I24" i="14"/>
  <c r="H25" i="14"/>
  <c r="I25" i="14"/>
  <c r="H26" i="14"/>
  <c r="I26" i="14"/>
  <c r="H27" i="14"/>
  <c r="I27" i="14"/>
  <c r="H28" i="14"/>
  <c r="I28" i="14"/>
  <c r="H29" i="14"/>
  <c r="I29" i="14"/>
  <c r="H30" i="14"/>
  <c r="I30" i="14"/>
  <c r="H31" i="14"/>
  <c r="I31" i="14"/>
  <c r="H32" i="14"/>
  <c r="I32" i="14"/>
  <c r="H33" i="14"/>
  <c r="I33" i="14"/>
  <c r="H34" i="14"/>
  <c r="I34" i="14"/>
  <c r="H35" i="14"/>
  <c r="I35" i="14"/>
  <c r="H36" i="14"/>
  <c r="I36" i="14"/>
  <c r="H37" i="14"/>
  <c r="I37" i="14"/>
  <c r="H38" i="14"/>
  <c r="I38" i="14"/>
  <c r="H39" i="14"/>
  <c r="I39" i="14"/>
  <c r="H40" i="14"/>
  <c r="I40" i="14"/>
  <c r="H41" i="14"/>
  <c r="I41" i="14"/>
  <c r="H42" i="14"/>
  <c r="I42" i="14"/>
  <c r="H43" i="14"/>
  <c r="I43" i="14"/>
  <c r="H44" i="14"/>
  <c r="I44" i="14"/>
  <c r="H45" i="14"/>
  <c r="I45" i="14"/>
  <c r="H46" i="14"/>
  <c r="I46" i="14"/>
  <c r="H47" i="14"/>
  <c r="I47" i="14"/>
  <c r="H48" i="14"/>
  <c r="I48" i="14"/>
  <c r="H49" i="14"/>
  <c r="I49" i="14"/>
  <c r="H50" i="14"/>
  <c r="I50" i="14"/>
  <c r="H51" i="14"/>
  <c r="I51" i="14"/>
  <c r="H52" i="14"/>
  <c r="I52" i="14"/>
  <c r="H53" i="14"/>
  <c r="I53" i="14"/>
  <c r="H15" i="13"/>
  <c r="I15" i="13"/>
  <c r="H16" i="13"/>
  <c r="I16" i="13"/>
  <c r="H17" i="13"/>
  <c r="I17" i="13"/>
  <c r="H18" i="13"/>
  <c r="I18" i="13"/>
  <c r="H19" i="13"/>
  <c r="I19" i="13"/>
  <c r="H20" i="13"/>
  <c r="I20" i="13"/>
  <c r="H21" i="13"/>
  <c r="I21" i="13"/>
  <c r="H22" i="13"/>
  <c r="I22" i="13"/>
  <c r="H23" i="13"/>
  <c r="I23" i="13"/>
  <c r="F9" i="13"/>
  <c r="H15" i="22"/>
  <c r="I15" i="22"/>
  <c r="H16" i="22"/>
  <c r="I16" i="22"/>
  <c r="H17" i="22"/>
  <c r="I17" i="22"/>
  <c r="H18" i="22"/>
  <c r="I18" i="22"/>
  <c r="H19" i="22"/>
  <c r="I19" i="22"/>
  <c r="H20" i="22"/>
  <c r="I20" i="22"/>
  <c r="H21" i="22"/>
  <c r="I21" i="22"/>
  <c r="H22" i="22"/>
  <c r="I22" i="22"/>
  <c r="H23" i="22"/>
  <c r="I23" i="22"/>
  <c r="H24" i="22"/>
  <c r="I24" i="22"/>
  <c r="H25" i="22"/>
  <c r="I25" i="22"/>
  <c r="H26" i="22"/>
  <c r="I26" i="22"/>
  <c r="H27" i="22"/>
  <c r="I27" i="22"/>
  <c r="H28" i="22"/>
  <c r="I28" i="22"/>
  <c r="H29" i="22"/>
  <c r="I29" i="22"/>
  <c r="H30" i="22"/>
  <c r="I30" i="22"/>
  <c r="H31" i="22"/>
  <c r="I31" i="22"/>
  <c r="H32" i="22"/>
  <c r="I32" i="22"/>
  <c r="H33" i="22"/>
  <c r="I33" i="22"/>
  <c r="H34" i="22"/>
  <c r="I34" i="22"/>
  <c r="H35" i="22"/>
  <c r="I35" i="22"/>
  <c r="H36" i="22"/>
  <c r="I36" i="22"/>
  <c r="H37" i="22"/>
  <c r="I37" i="22"/>
  <c r="H38" i="22"/>
  <c r="I38" i="22"/>
  <c r="H39" i="22"/>
  <c r="I39" i="22"/>
  <c r="H40" i="22"/>
  <c r="I40" i="22"/>
  <c r="H41" i="22"/>
  <c r="I41" i="22"/>
  <c r="H42" i="22"/>
  <c r="I42" i="22"/>
  <c r="H43" i="22"/>
  <c r="I43" i="22"/>
  <c r="H44" i="22"/>
  <c r="I44" i="22"/>
  <c r="H45" i="22"/>
  <c r="I45" i="22"/>
  <c r="H46" i="22"/>
  <c r="I46" i="22"/>
  <c r="H47" i="22"/>
  <c r="I47" i="22"/>
  <c r="H48" i="22"/>
  <c r="I48" i="22"/>
  <c r="H49" i="22"/>
  <c r="I49" i="22"/>
  <c r="H50" i="22"/>
  <c r="I50" i="22"/>
  <c r="H51" i="22"/>
  <c r="I51" i="22"/>
  <c r="H52" i="22"/>
  <c r="I52" i="22"/>
  <c r="H53" i="22"/>
  <c r="I53" i="22"/>
  <c r="F9" i="22"/>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F9" i="21"/>
  <c r="H15" i="20"/>
  <c r="I15" i="20"/>
  <c r="H16" i="20"/>
  <c r="I16" i="20"/>
  <c r="H17" i="20"/>
  <c r="I17" i="20"/>
  <c r="H18" i="20"/>
  <c r="I18" i="20"/>
  <c r="H19" i="20"/>
  <c r="I19" i="20"/>
  <c r="H20" i="20"/>
  <c r="I20" i="20"/>
  <c r="H21" i="20"/>
  <c r="I21" i="20"/>
  <c r="H22" i="20"/>
  <c r="I22" i="20"/>
  <c r="H23" i="20"/>
  <c r="I23" i="20"/>
  <c r="H24" i="20"/>
  <c r="I24" i="20"/>
  <c r="H25" i="20"/>
  <c r="I25" i="20"/>
  <c r="H26" i="20"/>
  <c r="I26" i="20"/>
  <c r="H27" i="20"/>
  <c r="I27" i="20"/>
  <c r="H28" i="20"/>
  <c r="I28" i="20"/>
  <c r="H29" i="20"/>
  <c r="I29" i="20"/>
  <c r="H30" i="20"/>
  <c r="I30" i="20"/>
  <c r="H31" i="20"/>
  <c r="I31" i="20"/>
  <c r="H32" i="20"/>
  <c r="I32" i="20"/>
  <c r="H33" i="20"/>
  <c r="I33" i="20"/>
  <c r="H34" i="20"/>
  <c r="I34" i="20"/>
  <c r="H35" i="20"/>
  <c r="I35" i="20"/>
  <c r="H36" i="20"/>
  <c r="I36" i="20"/>
  <c r="H37" i="20"/>
  <c r="I37" i="20"/>
  <c r="H38" i="20"/>
  <c r="I38" i="20"/>
  <c r="H39" i="20"/>
  <c r="I39" i="20"/>
  <c r="H40" i="20"/>
  <c r="I40" i="20"/>
  <c r="H41" i="20"/>
  <c r="I41" i="20"/>
  <c r="H42" i="20"/>
  <c r="I42" i="20"/>
  <c r="H43" i="20"/>
  <c r="I43" i="20"/>
  <c r="H44" i="20"/>
  <c r="I44" i="20"/>
  <c r="H45" i="20"/>
  <c r="I45" i="20"/>
  <c r="H46" i="20"/>
  <c r="I46" i="20"/>
  <c r="H47" i="20"/>
  <c r="I47" i="20"/>
  <c r="H48" i="20"/>
  <c r="I48" i="20"/>
  <c r="H49" i="20"/>
  <c r="I49" i="20"/>
  <c r="H50" i="20"/>
  <c r="I50" i="20"/>
  <c r="H51" i="20"/>
  <c r="I51" i="20"/>
  <c r="H52" i="20"/>
  <c r="I52" i="20"/>
  <c r="H53" i="20"/>
  <c r="I53" i="20"/>
  <c r="F9" i="20"/>
  <c r="H14" i="16"/>
  <c r="I14" i="16"/>
  <c r="H15" i="16"/>
  <c r="I15" i="16"/>
  <c r="H16" i="16"/>
  <c r="I16" i="16"/>
  <c r="H17" i="16"/>
  <c r="I17" i="16"/>
  <c r="H18" i="16"/>
  <c r="I18" i="16"/>
  <c r="H19" i="16"/>
  <c r="I19" i="16"/>
  <c r="H20" i="16"/>
  <c r="I20" i="16"/>
  <c r="H21" i="16"/>
  <c r="I21" i="16"/>
  <c r="H22" i="16"/>
  <c r="I22" i="16"/>
  <c r="H23" i="16"/>
  <c r="I23" i="16"/>
  <c r="H24" i="16"/>
  <c r="I24" i="16"/>
  <c r="H25" i="16"/>
  <c r="I25" i="16"/>
  <c r="H26" i="16"/>
  <c r="I26" i="16"/>
  <c r="H27" i="16"/>
  <c r="I27" i="16"/>
  <c r="H28" i="16"/>
  <c r="I28" i="16"/>
  <c r="H29" i="16"/>
  <c r="I29" i="16"/>
  <c r="H30" i="16"/>
  <c r="I30" i="16"/>
  <c r="H31" i="16"/>
  <c r="I31" i="16"/>
  <c r="H32" i="16"/>
  <c r="I32" i="16"/>
  <c r="H33" i="16"/>
  <c r="I33" i="16"/>
  <c r="H34" i="16"/>
  <c r="I34" i="16"/>
  <c r="H35" i="16"/>
  <c r="I35" i="16"/>
  <c r="H36" i="16"/>
  <c r="I36" i="16"/>
  <c r="H37" i="16"/>
  <c r="I37" i="16"/>
  <c r="H38" i="16"/>
  <c r="I38" i="16"/>
  <c r="H39" i="16"/>
  <c r="I39" i="16"/>
  <c r="H40" i="16"/>
  <c r="I40" i="16"/>
  <c r="H41" i="16"/>
  <c r="I41" i="16"/>
  <c r="H42" i="16"/>
  <c r="I42" i="16"/>
  <c r="H43" i="16"/>
  <c r="I43" i="16"/>
  <c r="H44" i="16"/>
  <c r="I44" i="16"/>
  <c r="H45" i="16"/>
  <c r="I45" i="16"/>
  <c r="H46" i="16"/>
  <c r="I46" i="16"/>
  <c r="H47" i="16"/>
  <c r="I47" i="16"/>
  <c r="H48" i="16"/>
  <c r="I48" i="16"/>
  <c r="H49" i="16"/>
  <c r="I49" i="16"/>
  <c r="H50" i="16"/>
  <c r="I50" i="16"/>
  <c r="H51" i="16"/>
  <c r="I51" i="16"/>
  <c r="H52" i="16"/>
  <c r="I52" i="16"/>
  <c r="H53" i="16"/>
  <c r="I53" i="16"/>
  <c r="F9" i="16"/>
  <c r="F9" i="11"/>
  <c r="H15" i="11"/>
  <c r="I15" i="11"/>
  <c r="H16" i="11"/>
  <c r="I16" i="11"/>
  <c r="H17" i="11"/>
  <c r="I17" i="11"/>
  <c r="H18" i="11"/>
  <c r="I18" i="11"/>
  <c r="H19" i="11"/>
  <c r="I19" i="11"/>
  <c r="H20" i="11"/>
  <c r="I20" i="11"/>
  <c r="H21" i="11"/>
  <c r="I21" i="11"/>
  <c r="H22" i="11"/>
  <c r="I22" i="11"/>
  <c r="H23" i="11"/>
  <c r="I23" i="11"/>
  <c r="H24" i="11"/>
  <c r="I24" i="11"/>
  <c r="H25" i="11"/>
  <c r="I25" i="11"/>
  <c r="H26" i="11"/>
  <c r="I26" i="11"/>
  <c r="H27" i="11"/>
  <c r="I27" i="11"/>
  <c r="H28" i="11"/>
  <c r="I28" i="11"/>
  <c r="H29" i="11"/>
  <c r="I29" i="11"/>
  <c r="H30" i="11"/>
  <c r="I30" i="11"/>
  <c r="H31" i="11"/>
  <c r="I31" i="11"/>
  <c r="H32" i="11"/>
  <c r="I32" i="11"/>
  <c r="H33" i="11"/>
  <c r="I33" i="11"/>
  <c r="H34" i="11"/>
  <c r="I34" i="11"/>
  <c r="H35" i="11"/>
  <c r="I35" i="11"/>
  <c r="H36" i="11"/>
  <c r="I36" i="11"/>
  <c r="H37" i="11"/>
  <c r="I37" i="11"/>
  <c r="H38" i="11"/>
  <c r="I38" i="11"/>
  <c r="H39" i="11"/>
  <c r="I39" i="11"/>
  <c r="H40" i="11"/>
  <c r="I40" i="11"/>
  <c r="H41" i="11"/>
  <c r="I41" i="11"/>
  <c r="H42" i="11"/>
  <c r="I42" i="11"/>
  <c r="H43" i="11"/>
  <c r="I43" i="11"/>
  <c r="H44" i="11"/>
  <c r="I44" i="11"/>
  <c r="H45" i="11"/>
  <c r="I45" i="11"/>
  <c r="H46" i="11"/>
  <c r="I46" i="11"/>
  <c r="H47" i="11"/>
  <c r="I47" i="11"/>
  <c r="H48" i="11"/>
  <c r="I48" i="11"/>
  <c r="H49" i="11"/>
  <c r="I49" i="11"/>
  <c r="H50" i="11"/>
  <c r="I50" i="11"/>
  <c r="H51" i="11"/>
  <c r="I51" i="11"/>
  <c r="H52" i="11"/>
  <c r="I52" i="11"/>
  <c r="H53" i="11"/>
  <c r="I53" i="11"/>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F9" i="12"/>
  <c r="H15" i="10"/>
  <c r="I15" i="10"/>
  <c r="H16" i="10"/>
  <c r="I16" i="10"/>
  <c r="H17" i="10"/>
  <c r="I17" i="10"/>
  <c r="H18" i="10"/>
  <c r="I18" i="10"/>
  <c r="H19" i="10"/>
  <c r="I19" i="10"/>
  <c r="H20" i="10"/>
  <c r="I20" i="10"/>
  <c r="H21" i="10"/>
  <c r="I21" i="10"/>
  <c r="H22" i="10"/>
  <c r="I22" i="10"/>
  <c r="H23" i="10"/>
  <c r="I23" i="10"/>
  <c r="H24" i="10"/>
  <c r="I24" i="10"/>
  <c r="H25" i="10"/>
  <c r="I25" i="10"/>
  <c r="H26" i="10"/>
  <c r="I26" i="10"/>
  <c r="H27" i="10"/>
  <c r="I27" i="10"/>
  <c r="H28" i="10"/>
  <c r="I28" i="10"/>
  <c r="H29" i="10"/>
  <c r="I29" i="10"/>
  <c r="H30" i="10"/>
  <c r="I30" i="10"/>
  <c r="H31" i="10"/>
  <c r="I31" i="10"/>
  <c r="H32" i="10"/>
  <c r="I32" i="10"/>
  <c r="H33" i="10"/>
  <c r="I33" i="10"/>
  <c r="H34" i="10"/>
  <c r="I34" i="10"/>
  <c r="H35" i="10"/>
  <c r="I35" i="10"/>
  <c r="H36" i="10"/>
  <c r="I36" i="10"/>
  <c r="H37" i="10"/>
  <c r="I37" i="10"/>
  <c r="H38" i="10"/>
  <c r="I38" i="10"/>
  <c r="H39" i="10"/>
  <c r="I39" i="10"/>
  <c r="H40" i="10"/>
  <c r="I40" i="10"/>
  <c r="H41" i="10"/>
  <c r="I41" i="10"/>
  <c r="H42" i="10"/>
  <c r="I42" i="10"/>
  <c r="H43" i="10"/>
  <c r="I43" i="10"/>
  <c r="H44" i="10"/>
  <c r="I44" i="10"/>
  <c r="I45" i="10"/>
  <c r="H46" i="10"/>
  <c r="I46" i="10"/>
  <c r="H47" i="10"/>
  <c r="I47" i="10"/>
  <c r="H48" i="10"/>
  <c r="I48" i="10"/>
  <c r="H49" i="10"/>
  <c r="I49" i="10"/>
  <c r="H50" i="10"/>
  <c r="I50" i="10"/>
  <c r="H51" i="10"/>
  <c r="I51" i="10"/>
  <c r="H52" i="10"/>
  <c r="I52" i="10"/>
  <c r="H53" i="10"/>
  <c r="I53" i="10"/>
  <c r="F9" i="10"/>
  <c r="F9"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15" i="8"/>
  <c r="I15" i="8"/>
  <c r="H16" i="8"/>
  <c r="I16" i="8"/>
  <c r="H17" i="8"/>
  <c r="I17" i="8"/>
  <c r="H18" i="8"/>
  <c r="I18" i="8"/>
  <c r="H19" i="8"/>
  <c r="I19" i="8"/>
  <c r="H20" i="8"/>
  <c r="I20" i="8"/>
  <c r="H21" i="8"/>
  <c r="I21" i="8"/>
  <c r="H22" i="8"/>
  <c r="I22" i="8"/>
  <c r="H23" i="8"/>
  <c r="I23" i="8"/>
  <c r="H24" i="8"/>
  <c r="I24" i="8"/>
  <c r="H25" i="8"/>
  <c r="I25" i="8"/>
  <c r="H26" i="8"/>
  <c r="I26" i="8"/>
  <c r="H27" i="8"/>
  <c r="I27" i="8"/>
  <c r="H28" i="8"/>
  <c r="I28" i="8"/>
  <c r="H29" i="8"/>
  <c r="I29" i="8"/>
  <c r="H30" i="8"/>
  <c r="I30" i="8"/>
  <c r="H31" i="8"/>
  <c r="I31" i="8"/>
  <c r="H32" i="8"/>
  <c r="I32" i="8"/>
  <c r="H33" i="8"/>
  <c r="I33" i="8"/>
  <c r="H34" i="8"/>
  <c r="I34" i="8"/>
  <c r="H35" i="8"/>
  <c r="I35" i="8"/>
  <c r="H36" i="8"/>
  <c r="I36" i="8"/>
  <c r="H37" i="8"/>
  <c r="I37" i="8"/>
  <c r="H38" i="8"/>
  <c r="I38" i="8"/>
  <c r="H39" i="8"/>
  <c r="I39" i="8"/>
  <c r="H40" i="8"/>
  <c r="I40" i="8"/>
  <c r="H41" i="8"/>
  <c r="I41" i="8"/>
  <c r="H42" i="8"/>
  <c r="I42" i="8"/>
  <c r="H43" i="8"/>
  <c r="I43" i="8"/>
  <c r="H44" i="8"/>
  <c r="I44" i="8"/>
  <c r="I45" i="8"/>
  <c r="H46" i="8"/>
  <c r="I46" i="8"/>
  <c r="H47" i="8"/>
  <c r="I47" i="8"/>
  <c r="H48" i="8"/>
  <c r="I48" i="8"/>
  <c r="H49" i="8"/>
  <c r="I49" i="8"/>
  <c r="H50" i="8"/>
  <c r="I50" i="8"/>
  <c r="H51" i="8"/>
  <c r="I51" i="8"/>
  <c r="H52" i="8"/>
  <c r="I52" i="8"/>
  <c r="H53" i="8"/>
  <c r="I53" i="8"/>
  <c r="G2" i="47" l="1"/>
  <c r="G3" i="47"/>
  <c r="G4" i="47"/>
  <c r="G5" i="47"/>
  <c r="G6" i="47"/>
  <c r="G7" i="47"/>
  <c r="G8" i="47"/>
  <c r="G9" i="47"/>
  <c r="G10" i="47"/>
  <c r="G1" i="47"/>
  <c r="G11" i="47" s="1"/>
  <c r="H14" i="8" l="1"/>
  <c r="F13" i="37" s="1"/>
  <c r="M13" i="37"/>
  <c r="F11" i="48"/>
  <c r="F12" i="48"/>
  <c r="G68" i="48"/>
  <c r="G74" i="48"/>
  <c r="G73" i="48"/>
  <c r="H29" i="31"/>
  <c r="H28" i="31"/>
  <c r="H27" i="31"/>
  <c r="H26" i="31"/>
  <c r="F45" i="49"/>
  <c r="E45" i="49"/>
  <c r="D45" i="49"/>
  <c r="C45" i="49"/>
  <c r="F44" i="49"/>
  <c r="E44" i="49"/>
  <c r="D44" i="49"/>
  <c r="C44" i="49"/>
  <c r="F43" i="49"/>
  <c r="E43" i="49"/>
  <c r="D43" i="49"/>
  <c r="C43" i="49"/>
  <c r="F42" i="49"/>
  <c r="E42" i="49"/>
  <c r="D42" i="49"/>
  <c r="C42" i="49"/>
  <c r="F41" i="49"/>
  <c r="E41" i="49"/>
  <c r="D41" i="49"/>
  <c r="C41" i="49"/>
  <c r="F40" i="49"/>
  <c r="E40" i="49"/>
  <c r="D40" i="49"/>
  <c r="C40" i="49"/>
  <c r="F39" i="49"/>
  <c r="E39" i="49"/>
  <c r="D39" i="49"/>
  <c r="C39" i="49"/>
  <c r="F38" i="49"/>
  <c r="E38" i="49"/>
  <c r="D38" i="49"/>
  <c r="C38" i="49"/>
  <c r="F37" i="49"/>
  <c r="E37" i="49"/>
  <c r="D37" i="49"/>
  <c r="C37" i="49"/>
  <c r="F36" i="49"/>
  <c r="E36" i="49"/>
  <c r="D36" i="49"/>
  <c r="C36" i="49"/>
  <c r="F35" i="49"/>
  <c r="E35" i="49"/>
  <c r="D35" i="49"/>
  <c r="C35" i="49"/>
  <c r="F34" i="49"/>
  <c r="E34" i="49"/>
  <c r="D34" i="49"/>
  <c r="C34" i="49"/>
  <c r="F33" i="49"/>
  <c r="E33" i="49"/>
  <c r="D33" i="49"/>
  <c r="C33" i="49"/>
  <c r="F32" i="49"/>
  <c r="E32" i="49"/>
  <c r="D32" i="49"/>
  <c r="C32" i="49"/>
  <c r="F31" i="49"/>
  <c r="E31" i="49"/>
  <c r="D31" i="49"/>
  <c r="C31" i="49"/>
  <c r="F30" i="49"/>
  <c r="E30" i="49"/>
  <c r="D30" i="49"/>
  <c r="C30" i="49"/>
  <c r="F29" i="49"/>
  <c r="E29" i="49"/>
  <c r="D29" i="49"/>
  <c r="C29" i="49"/>
  <c r="F28" i="49"/>
  <c r="E28" i="49"/>
  <c r="D28" i="49"/>
  <c r="C28" i="49"/>
  <c r="F27" i="49"/>
  <c r="E27" i="49"/>
  <c r="D27" i="49"/>
  <c r="C27" i="49"/>
  <c r="F26" i="49"/>
  <c r="E26" i="49"/>
  <c r="D26" i="49"/>
  <c r="C26" i="49"/>
  <c r="F25" i="49"/>
  <c r="E25" i="49"/>
  <c r="D25" i="49"/>
  <c r="C25" i="49"/>
  <c r="F24" i="49"/>
  <c r="E24" i="49"/>
  <c r="D24" i="49"/>
  <c r="C24" i="49"/>
  <c r="F23" i="49"/>
  <c r="E23" i="49"/>
  <c r="D23" i="49"/>
  <c r="C23" i="49"/>
  <c r="F22" i="49"/>
  <c r="E22" i="49"/>
  <c r="D22" i="49"/>
  <c r="C22" i="49"/>
  <c r="F21" i="49"/>
  <c r="E21" i="49"/>
  <c r="D21" i="49"/>
  <c r="C21" i="49"/>
  <c r="F20" i="49"/>
  <c r="E20" i="49"/>
  <c r="D20" i="49"/>
  <c r="C20" i="49"/>
  <c r="F19" i="49"/>
  <c r="E19" i="49"/>
  <c r="D19" i="49"/>
  <c r="C19" i="49"/>
  <c r="F18" i="49"/>
  <c r="E18" i="49"/>
  <c r="D18" i="49"/>
  <c r="C18" i="49"/>
  <c r="F17" i="49"/>
  <c r="E17" i="49"/>
  <c r="D17" i="49"/>
  <c r="C17" i="49"/>
  <c r="F16" i="49"/>
  <c r="E16" i="49"/>
  <c r="D16" i="49"/>
  <c r="C16" i="49"/>
  <c r="F15" i="49"/>
  <c r="E15" i="49"/>
  <c r="D15" i="49"/>
  <c r="C15" i="49"/>
  <c r="F14" i="49"/>
  <c r="E14" i="49"/>
  <c r="D14" i="49"/>
  <c r="C14" i="49"/>
  <c r="F13" i="49"/>
  <c r="E13" i="49"/>
  <c r="D13" i="49"/>
  <c r="C13" i="49"/>
  <c r="F12" i="49"/>
  <c r="E12" i="49"/>
  <c r="D12" i="49"/>
  <c r="C12" i="49"/>
  <c r="F11" i="49"/>
  <c r="E11" i="49"/>
  <c r="D11" i="49"/>
  <c r="C11" i="49"/>
  <c r="F10" i="49"/>
  <c r="E10" i="49"/>
  <c r="D10" i="49"/>
  <c r="C10" i="49"/>
  <c r="F9" i="49"/>
  <c r="E9" i="49"/>
  <c r="D9" i="49"/>
  <c r="C9" i="49"/>
  <c r="F8" i="49"/>
  <c r="E8" i="49"/>
  <c r="D8" i="49"/>
  <c r="C8" i="49"/>
  <c r="F7" i="49"/>
  <c r="E7" i="49"/>
  <c r="D7" i="49"/>
  <c r="C7" i="49"/>
  <c r="F6" i="49"/>
  <c r="E6" i="49"/>
  <c r="D6" i="49"/>
  <c r="C6" i="49"/>
  <c r="E6" i="48"/>
  <c r="E5" i="48"/>
  <c r="E47" i="25"/>
  <c r="D47" i="25"/>
  <c r="C47" i="25"/>
  <c r="E46" i="25"/>
  <c r="D46" i="25"/>
  <c r="C46" i="25"/>
  <c r="E45" i="25"/>
  <c r="D45" i="25"/>
  <c r="C45" i="25"/>
  <c r="E44" i="25"/>
  <c r="D44" i="25"/>
  <c r="C44" i="25"/>
  <c r="E43" i="25"/>
  <c r="D43" i="25"/>
  <c r="C43" i="25"/>
  <c r="E42" i="25"/>
  <c r="D42" i="25"/>
  <c r="C42" i="25"/>
  <c r="E41" i="25"/>
  <c r="D41" i="25"/>
  <c r="C41" i="25"/>
  <c r="E40" i="25"/>
  <c r="D40" i="25"/>
  <c r="C40" i="25"/>
  <c r="E39" i="25"/>
  <c r="D39" i="25"/>
  <c r="C39" i="25"/>
  <c r="E38" i="25"/>
  <c r="D38" i="25"/>
  <c r="C38" i="25"/>
  <c r="E37" i="25"/>
  <c r="D37" i="25"/>
  <c r="C37" i="25"/>
  <c r="E36" i="25"/>
  <c r="D36" i="25"/>
  <c r="C36" i="25"/>
  <c r="E35" i="25"/>
  <c r="D35" i="25"/>
  <c r="C35" i="25"/>
  <c r="E34" i="25"/>
  <c r="D34" i="25"/>
  <c r="C34" i="25"/>
  <c r="E33" i="25"/>
  <c r="D33" i="25"/>
  <c r="C33" i="25"/>
  <c r="E32" i="25"/>
  <c r="D32" i="25"/>
  <c r="C32" i="25"/>
  <c r="E31" i="25"/>
  <c r="D31" i="25"/>
  <c r="C31" i="25"/>
  <c r="E30" i="25"/>
  <c r="D30" i="25"/>
  <c r="C30" i="25"/>
  <c r="E29" i="25"/>
  <c r="D29" i="25"/>
  <c r="C29" i="25"/>
  <c r="E28" i="25"/>
  <c r="D28" i="25"/>
  <c r="C28" i="25"/>
  <c r="E27" i="25"/>
  <c r="D27" i="25"/>
  <c r="C27" i="25"/>
  <c r="E26" i="25"/>
  <c r="D26" i="25"/>
  <c r="C26" i="25"/>
  <c r="E25" i="25"/>
  <c r="D25" i="25"/>
  <c r="C25" i="25"/>
  <c r="E24" i="25"/>
  <c r="D24" i="25"/>
  <c r="C24" i="25"/>
  <c r="E23" i="25"/>
  <c r="D23" i="25"/>
  <c r="C23" i="25"/>
  <c r="E22" i="25"/>
  <c r="D22" i="25"/>
  <c r="C22" i="25"/>
  <c r="E21" i="25"/>
  <c r="D21" i="25"/>
  <c r="C21" i="25"/>
  <c r="E20" i="25"/>
  <c r="D20" i="25"/>
  <c r="C20" i="25"/>
  <c r="E19" i="25"/>
  <c r="D19" i="25"/>
  <c r="C19" i="25"/>
  <c r="E18" i="25"/>
  <c r="D18" i="25"/>
  <c r="C18" i="25"/>
  <c r="E17" i="25"/>
  <c r="D17" i="25"/>
  <c r="C17" i="25"/>
  <c r="E16" i="25"/>
  <c r="D16" i="25"/>
  <c r="C16" i="25"/>
  <c r="E15" i="25"/>
  <c r="D15" i="25"/>
  <c r="C15" i="25"/>
  <c r="E14" i="25"/>
  <c r="D14" i="25"/>
  <c r="C14" i="25"/>
  <c r="E13" i="25"/>
  <c r="D13" i="25"/>
  <c r="C13" i="25"/>
  <c r="E12" i="25"/>
  <c r="D12" i="25"/>
  <c r="C12" i="25"/>
  <c r="E11" i="25"/>
  <c r="D11" i="25"/>
  <c r="C11" i="25"/>
  <c r="E10" i="25"/>
  <c r="D10" i="25"/>
  <c r="C10" i="25"/>
  <c r="E9" i="25"/>
  <c r="D9" i="25"/>
  <c r="C9" i="25"/>
  <c r="E119" i="41"/>
  <c r="D119" i="41"/>
  <c r="E116" i="41"/>
  <c r="D116" i="41"/>
  <c r="E113" i="41"/>
  <c r="D113" i="41"/>
  <c r="E110" i="41"/>
  <c r="D110" i="41"/>
  <c r="E107" i="41"/>
  <c r="D107" i="41"/>
  <c r="E104" i="41"/>
  <c r="D104" i="41"/>
  <c r="E101" i="41"/>
  <c r="D101" i="41"/>
  <c r="E98" i="41"/>
  <c r="D98" i="41"/>
  <c r="E95" i="41"/>
  <c r="D95" i="41"/>
  <c r="E92" i="41"/>
  <c r="D92" i="41"/>
  <c r="E89" i="41"/>
  <c r="D89" i="41"/>
  <c r="E86" i="41"/>
  <c r="D86" i="41"/>
  <c r="E83" i="41"/>
  <c r="D83" i="41"/>
  <c r="E80" i="41"/>
  <c r="D80" i="41"/>
  <c r="E77" i="41"/>
  <c r="D77" i="41"/>
  <c r="E74" i="41"/>
  <c r="D74" i="41"/>
  <c r="E71" i="41"/>
  <c r="D71" i="41"/>
  <c r="E68" i="41"/>
  <c r="D68" i="41"/>
  <c r="E65" i="41"/>
  <c r="D65" i="41"/>
  <c r="E62" i="41"/>
  <c r="D62" i="41"/>
  <c r="E59" i="41"/>
  <c r="D59" i="41"/>
  <c r="E56" i="41"/>
  <c r="D56" i="41"/>
  <c r="E53" i="41"/>
  <c r="D53" i="41"/>
  <c r="E50" i="41"/>
  <c r="D50" i="41"/>
  <c r="E47" i="41"/>
  <c r="D47" i="41"/>
  <c r="E44" i="41"/>
  <c r="D44" i="41"/>
  <c r="E41" i="41"/>
  <c r="D41" i="41"/>
  <c r="E38" i="41"/>
  <c r="D38" i="41"/>
  <c r="E35" i="41"/>
  <c r="D35" i="41"/>
  <c r="E32" i="41"/>
  <c r="D32" i="41"/>
  <c r="E29" i="41"/>
  <c r="D29" i="41"/>
  <c r="E26" i="41"/>
  <c r="D26" i="41"/>
  <c r="E23" i="41"/>
  <c r="D23" i="41"/>
  <c r="E20" i="41"/>
  <c r="D20" i="41"/>
  <c r="E17" i="41"/>
  <c r="D17" i="41"/>
  <c r="E14" i="41"/>
  <c r="D14" i="41"/>
  <c r="E6" i="37"/>
  <c r="E5" i="37"/>
  <c r="E48" i="43"/>
  <c r="D48" i="43"/>
  <c r="E47" i="43"/>
  <c r="D47" i="43"/>
  <c r="E46" i="43"/>
  <c r="D46" i="43"/>
  <c r="E45" i="43"/>
  <c r="D45" i="43"/>
  <c r="E44" i="43"/>
  <c r="D44" i="43"/>
  <c r="E43" i="43"/>
  <c r="D43" i="43"/>
  <c r="E42" i="43"/>
  <c r="D42" i="43"/>
  <c r="E41" i="43"/>
  <c r="D41" i="43"/>
  <c r="E40" i="43"/>
  <c r="D40" i="43"/>
  <c r="E39" i="43"/>
  <c r="D39" i="43"/>
  <c r="E38" i="43"/>
  <c r="D38" i="43"/>
  <c r="E37" i="43"/>
  <c r="D37" i="43"/>
  <c r="E36" i="43"/>
  <c r="D36" i="43"/>
  <c r="E35" i="43"/>
  <c r="D35" i="43"/>
  <c r="E34" i="43"/>
  <c r="D34" i="43"/>
  <c r="E33" i="43"/>
  <c r="D33" i="43"/>
  <c r="E32" i="43"/>
  <c r="D32" i="43"/>
  <c r="E31" i="43"/>
  <c r="D31" i="43"/>
  <c r="E30" i="43"/>
  <c r="D30" i="43"/>
  <c r="E29" i="43"/>
  <c r="D29" i="43"/>
  <c r="E28" i="43"/>
  <c r="D28" i="43"/>
  <c r="E27" i="43"/>
  <c r="D27" i="43"/>
  <c r="E26" i="43"/>
  <c r="D26" i="43"/>
  <c r="E25" i="43"/>
  <c r="D25" i="43"/>
  <c r="E24" i="43"/>
  <c r="D24" i="43"/>
  <c r="E23" i="43"/>
  <c r="D23" i="43"/>
  <c r="E22" i="43"/>
  <c r="D22" i="43"/>
  <c r="E21" i="43"/>
  <c r="D21" i="43"/>
  <c r="E20" i="43"/>
  <c r="D20" i="43"/>
  <c r="E19" i="43"/>
  <c r="D19" i="43"/>
  <c r="E18" i="43"/>
  <c r="D18" i="43"/>
  <c r="E17" i="43"/>
  <c r="D17" i="43"/>
  <c r="E16" i="43"/>
  <c r="D16" i="43"/>
  <c r="E15" i="43"/>
  <c r="D15" i="43"/>
  <c r="E14" i="43"/>
  <c r="D14" i="43"/>
  <c r="E13" i="43"/>
  <c r="D13" i="43"/>
  <c r="E12" i="43"/>
  <c r="D12" i="43"/>
  <c r="E11" i="43"/>
  <c r="D11" i="43"/>
  <c r="E10" i="43"/>
  <c r="D10" i="43"/>
  <c r="E9" i="43"/>
  <c r="D9" i="43"/>
  <c r="D53" i="44"/>
  <c r="C53" i="44"/>
  <c r="D52" i="44"/>
  <c r="C52" i="44"/>
  <c r="D51" i="44"/>
  <c r="C51" i="44"/>
  <c r="D50" i="44"/>
  <c r="C50" i="44"/>
  <c r="D49" i="44"/>
  <c r="C49" i="44"/>
  <c r="D48" i="44"/>
  <c r="C48" i="44"/>
  <c r="D47" i="44"/>
  <c r="C47" i="44"/>
  <c r="D46" i="44"/>
  <c r="C46" i="44"/>
  <c r="D45" i="44"/>
  <c r="C45" i="44"/>
  <c r="D44" i="44"/>
  <c r="C44" i="44"/>
  <c r="D43" i="44"/>
  <c r="C43" i="44"/>
  <c r="D42" i="44"/>
  <c r="C42" i="44"/>
  <c r="D41" i="44"/>
  <c r="C41" i="44"/>
  <c r="D40" i="44"/>
  <c r="C40" i="44"/>
  <c r="D39" i="44"/>
  <c r="C39" i="44"/>
  <c r="D38" i="44"/>
  <c r="C38" i="44"/>
  <c r="D37" i="44"/>
  <c r="C37" i="44"/>
  <c r="D36" i="44"/>
  <c r="C36" i="44"/>
  <c r="D35" i="44"/>
  <c r="C35" i="44"/>
  <c r="D34" i="44"/>
  <c r="C34" i="44"/>
  <c r="D33" i="44"/>
  <c r="C33" i="44"/>
  <c r="D32" i="44"/>
  <c r="C32" i="44"/>
  <c r="D31" i="44"/>
  <c r="C31" i="44"/>
  <c r="C30" i="44"/>
  <c r="D29" i="44"/>
  <c r="C29" i="44"/>
  <c r="D28" i="44"/>
  <c r="C28" i="44"/>
  <c r="D27" i="44"/>
  <c r="C27" i="44"/>
  <c r="D26" i="44"/>
  <c r="C26" i="44"/>
  <c r="D25" i="44"/>
  <c r="C25" i="44"/>
  <c r="D24" i="44"/>
  <c r="C24" i="44"/>
  <c r="D23" i="44"/>
  <c r="C23" i="44"/>
  <c r="D22" i="44"/>
  <c r="C22" i="44"/>
  <c r="D21" i="44"/>
  <c r="C21" i="44"/>
  <c r="D20" i="44"/>
  <c r="C20" i="44"/>
  <c r="D19" i="44"/>
  <c r="C19" i="44"/>
  <c r="D18" i="44"/>
  <c r="C18" i="44"/>
  <c r="D17" i="44"/>
  <c r="C17" i="44"/>
  <c r="D16" i="44"/>
  <c r="C16" i="44"/>
  <c r="D15" i="44"/>
  <c r="C15" i="44"/>
  <c r="D14" i="44"/>
  <c r="C14" i="44"/>
  <c r="D53" i="18"/>
  <c r="C53" i="18"/>
  <c r="D52" i="18"/>
  <c r="C52" i="18"/>
  <c r="D51" i="18"/>
  <c r="C51" i="18"/>
  <c r="D50" i="18"/>
  <c r="C50" i="18"/>
  <c r="D49" i="18"/>
  <c r="C49" i="18"/>
  <c r="D48" i="18"/>
  <c r="C48" i="18"/>
  <c r="D47" i="18"/>
  <c r="C47" i="18"/>
  <c r="D46" i="18"/>
  <c r="C46" i="18"/>
  <c r="D45" i="18"/>
  <c r="C45" i="18"/>
  <c r="D44" i="18"/>
  <c r="C44" i="18"/>
  <c r="D43" i="18"/>
  <c r="C43" i="18"/>
  <c r="D42" i="18"/>
  <c r="C42" i="18"/>
  <c r="D41" i="18"/>
  <c r="C41" i="18"/>
  <c r="D40" i="18"/>
  <c r="C40" i="18"/>
  <c r="D39" i="18"/>
  <c r="C39" i="18"/>
  <c r="D38" i="18"/>
  <c r="C38" i="18"/>
  <c r="D37" i="18"/>
  <c r="C37" i="18"/>
  <c r="D36" i="18"/>
  <c r="C36" i="18"/>
  <c r="D35" i="18"/>
  <c r="C35" i="18"/>
  <c r="D34" i="18"/>
  <c r="C34" i="18"/>
  <c r="D33" i="18"/>
  <c r="C33" i="18"/>
  <c r="D32" i="18"/>
  <c r="C32" i="18"/>
  <c r="D31" i="18"/>
  <c r="C31" i="18"/>
  <c r="D30" i="18"/>
  <c r="C30" i="18"/>
  <c r="D29" i="18"/>
  <c r="C29" i="18"/>
  <c r="D28" i="18"/>
  <c r="C28" i="18"/>
  <c r="D27" i="18"/>
  <c r="C27" i="18"/>
  <c r="D26" i="18"/>
  <c r="C26" i="18"/>
  <c r="D25" i="18"/>
  <c r="C25" i="18"/>
  <c r="D24" i="18"/>
  <c r="C24" i="18"/>
  <c r="D23" i="18"/>
  <c r="C23" i="18"/>
  <c r="D22" i="18"/>
  <c r="C22" i="18"/>
  <c r="D21" i="18"/>
  <c r="C21" i="18"/>
  <c r="D20" i="18"/>
  <c r="C20" i="18"/>
  <c r="D19" i="18"/>
  <c r="C19" i="18"/>
  <c r="D18" i="18"/>
  <c r="C18" i="18"/>
  <c r="D17" i="18"/>
  <c r="C17" i="18"/>
  <c r="D16" i="18"/>
  <c r="C16" i="18"/>
  <c r="D15" i="18"/>
  <c r="C15" i="18"/>
  <c r="D14" i="18"/>
  <c r="C14" i="18"/>
  <c r="D53" i="17"/>
  <c r="C53" i="17"/>
  <c r="D52" i="17"/>
  <c r="C52" i="17"/>
  <c r="D51" i="17"/>
  <c r="C51" i="17"/>
  <c r="D50" i="17"/>
  <c r="C50" i="17"/>
  <c r="D49" i="17"/>
  <c r="C49" i="17"/>
  <c r="D48" i="17"/>
  <c r="C48" i="17"/>
  <c r="D47" i="17"/>
  <c r="C47" i="17"/>
  <c r="D46" i="17"/>
  <c r="C46" i="17"/>
  <c r="D45" i="17"/>
  <c r="C45" i="17"/>
  <c r="D44" i="17"/>
  <c r="C44" i="17"/>
  <c r="D43" i="17"/>
  <c r="C43" i="17"/>
  <c r="D42" i="17"/>
  <c r="C42" i="17"/>
  <c r="D41" i="17"/>
  <c r="C41" i="17"/>
  <c r="D40" i="17"/>
  <c r="C40" i="17"/>
  <c r="D39" i="17"/>
  <c r="C39" i="17"/>
  <c r="D38" i="17"/>
  <c r="C38" i="17"/>
  <c r="D37" i="17"/>
  <c r="C37" i="17"/>
  <c r="D36" i="17"/>
  <c r="C36" i="17"/>
  <c r="D35" i="17"/>
  <c r="C35" i="17"/>
  <c r="D34" i="17"/>
  <c r="C34" i="17"/>
  <c r="D33" i="17"/>
  <c r="C33" i="17"/>
  <c r="D32" i="17"/>
  <c r="C32" i="17"/>
  <c r="D31" i="17"/>
  <c r="C31" i="17"/>
  <c r="D30" i="17"/>
  <c r="C30" i="17"/>
  <c r="D29" i="17"/>
  <c r="C29" i="17"/>
  <c r="D28" i="17"/>
  <c r="C28" i="17"/>
  <c r="D27" i="17"/>
  <c r="C27" i="17"/>
  <c r="D26" i="17"/>
  <c r="C26" i="17"/>
  <c r="D25" i="17"/>
  <c r="C25" i="17"/>
  <c r="D24" i="17"/>
  <c r="C24" i="17"/>
  <c r="D23" i="17"/>
  <c r="C23" i="17"/>
  <c r="D22" i="17"/>
  <c r="C22" i="17"/>
  <c r="D21" i="17"/>
  <c r="C21" i="17"/>
  <c r="D20" i="17"/>
  <c r="C20" i="17"/>
  <c r="D19" i="17"/>
  <c r="C19" i="17"/>
  <c r="D18" i="17"/>
  <c r="C18" i="17"/>
  <c r="D17" i="17"/>
  <c r="C17" i="17"/>
  <c r="D16" i="17"/>
  <c r="C16" i="17"/>
  <c r="D15" i="17"/>
  <c r="C15" i="17"/>
  <c r="D14" i="17"/>
  <c r="C14" i="17"/>
  <c r="D53" i="15"/>
  <c r="C53" i="15"/>
  <c r="D52" i="15"/>
  <c r="C52" i="15"/>
  <c r="D51" i="15"/>
  <c r="C51" i="15"/>
  <c r="D50" i="15"/>
  <c r="C50" i="15"/>
  <c r="D49" i="15"/>
  <c r="C49" i="15"/>
  <c r="D48" i="15"/>
  <c r="C48" i="15"/>
  <c r="D47" i="15"/>
  <c r="C47" i="15"/>
  <c r="D46" i="15"/>
  <c r="C46" i="15"/>
  <c r="D45" i="15"/>
  <c r="C45" i="15"/>
  <c r="D44" i="15"/>
  <c r="C44" i="15"/>
  <c r="D43" i="15"/>
  <c r="C43" i="15"/>
  <c r="D42" i="15"/>
  <c r="C42" i="15"/>
  <c r="D41" i="15"/>
  <c r="C41" i="15"/>
  <c r="D40" i="15"/>
  <c r="C40" i="15"/>
  <c r="D39" i="15"/>
  <c r="C39" i="15"/>
  <c r="D38" i="15"/>
  <c r="C38" i="15"/>
  <c r="D37" i="15"/>
  <c r="C37" i="15"/>
  <c r="D36" i="15"/>
  <c r="C36" i="15"/>
  <c r="D35" i="15"/>
  <c r="C35" i="15"/>
  <c r="D34" i="15"/>
  <c r="C34" i="15"/>
  <c r="D33" i="15"/>
  <c r="C33" i="15"/>
  <c r="D32" i="15"/>
  <c r="C32" i="15"/>
  <c r="D31" i="15"/>
  <c r="C31" i="15"/>
  <c r="D30" i="15"/>
  <c r="C30" i="15"/>
  <c r="D29" i="15"/>
  <c r="C29" i="15"/>
  <c r="D28" i="15"/>
  <c r="C28" i="15"/>
  <c r="D27" i="15"/>
  <c r="C27" i="15"/>
  <c r="D26" i="15"/>
  <c r="C26" i="15"/>
  <c r="D25" i="15"/>
  <c r="C25" i="15"/>
  <c r="D24" i="15"/>
  <c r="C24" i="15"/>
  <c r="D23" i="15"/>
  <c r="C23" i="15"/>
  <c r="D22" i="15"/>
  <c r="C22" i="15"/>
  <c r="D21" i="15"/>
  <c r="C21" i="15"/>
  <c r="D20" i="15"/>
  <c r="C20" i="15"/>
  <c r="D19" i="15"/>
  <c r="C19" i="15"/>
  <c r="D18" i="15"/>
  <c r="C18" i="15"/>
  <c r="D17" i="15"/>
  <c r="C17" i="15"/>
  <c r="D16" i="15"/>
  <c r="C16" i="15"/>
  <c r="D15" i="15"/>
  <c r="C15" i="15"/>
  <c r="D14" i="15"/>
  <c r="C14" i="15"/>
  <c r="D53" i="14"/>
  <c r="C53" i="14"/>
  <c r="D52" i="14"/>
  <c r="C52" i="14"/>
  <c r="D51" i="14"/>
  <c r="C51" i="14"/>
  <c r="D50" i="14"/>
  <c r="C50" i="14"/>
  <c r="D49" i="14"/>
  <c r="C49" i="14"/>
  <c r="D48" i="14"/>
  <c r="C48" i="14"/>
  <c r="D47" i="14"/>
  <c r="C47" i="14"/>
  <c r="D46" i="14"/>
  <c r="C46" i="14"/>
  <c r="D45" i="14"/>
  <c r="C45" i="14"/>
  <c r="D44" i="14"/>
  <c r="C44" i="14"/>
  <c r="D43" i="14"/>
  <c r="C43" i="14"/>
  <c r="D42" i="14"/>
  <c r="C42" i="14"/>
  <c r="D41" i="14"/>
  <c r="C41" i="14"/>
  <c r="D40" i="14"/>
  <c r="C40" i="14"/>
  <c r="D39" i="14"/>
  <c r="C39" i="14"/>
  <c r="D38" i="14"/>
  <c r="C38" i="14"/>
  <c r="D37" i="14"/>
  <c r="C37" i="14"/>
  <c r="D36" i="14"/>
  <c r="C36" i="14"/>
  <c r="D35" i="14"/>
  <c r="C35" i="14"/>
  <c r="D34" i="14"/>
  <c r="C34" i="14"/>
  <c r="D33" i="14"/>
  <c r="C33" i="14"/>
  <c r="D32" i="14"/>
  <c r="C32" i="14"/>
  <c r="D31" i="14"/>
  <c r="C31" i="14"/>
  <c r="D30" i="14"/>
  <c r="C30" i="14"/>
  <c r="D29" i="14"/>
  <c r="C29" i="14"/>
  <c r="D28" i="14"/>
  <c r="C28" i="14"/>
  <c r="D27" i="14"/>
  <c r="C27" i="14"/>
  <c r="D26" i="14"/>
  <c r="C26" i="14"/>
  <c r="D25" i="14"/>
  <c r="C25" i="14"/>
  <c r="D24" i="14"/>
  <c r="C24" i="14"/>
  <c r="D23" i="14"/>
  <c r="C23" i="14"/>
  <c r="D22" i="14"/>
  <c r="C22" i="14"/>
  <c r="D21" i="14"/>
  <c r="C21" i="14"/>
  <c r="D20" i="14"/>
  <c r="C20" i="14"/>
  <c r="D19" i="14"/>
  <c r="C19" i="14"/>
  <c r="D18" i="14"/>
  <c r="C18" i="14"/>
  <c r="D17" i="14"/>
  <c r="C17" i="14"/>
  <c r="D16" i="14"/>
  <c r="C16" i="14"/>
  <c r="D15" i="14"/>
  <c r="C15" i="14"/>
  <c r="D14" i="14"/>
  <c r="C14" i="14"/>
  <c r="D23" i="13"/>
  <c r="C23" i="13"/>
  <c r="D22" i="13"/>
  <c r="C22" i="13"/>
  <c r="D21" i="13"/>
  <c r="C21" i="13"/>
  <c r="D20" i="13"/>
  <c r="C20" i="13"/>
  <c r="D19" i="13"/>
  <c r="C19" i="13"/>
  <c r="D18" i="13"/>
  <c r="C18" i="13"/>
  <c r="D17" i="13"/>
  <c r="C17" i="13"/>
  <c r="D16" i="13"/>
  <c r="C16" i="13"/>
  <c r="D15" i="13"/>
  <c r="C15" i="13"/>
  <c r="D14" i="13"/>
  <c r="C14" i="13"/>
  <c r="D53" i="22"/>
  <c r="C53" i="22"/>
  <c r="D52" i="22"/>
  <c r="C52" i="22"/>
  <c r="D51" i="22"/>
  <c r="C51" i="22"/>
  <c r="D50" i="22"/>
  <c r="C50" i="22"/>
  <c r="D49" i="22"/>
  <c r="C49" i="22"/>
  <c r="D48" i="22"/>
  <c r="C48" i="22"/>
  <c r="D47" i="22"/>
  <c r="C47" i="22"/>
  <c r="D46" i="22"/>
  <c r="C46" i="22"/>
  <c r="D45" i="22"/>
  <c r="C45" i="22"/>
  <c r="D44" i="22"/>
  <c r="C44" i="22"/>
  <c r="D43" i="22"/>
  <c r="C43" i="22"/>
  <c r="D42" i="22"/>
  <c r="C42" i="22"/>
  <c r="D41" i="22"/>
  <c r="C41" i="22"/>
  <c r="D40" i="22"/>
  <c r="C40" i="22"/>
  <c r="D39" i="22"/>
  <c r="C39" i="22"/>
  <c r="D38" i="22"/>
  <c r="C38" i="22"/>
  <c r="D37" i="22"/>
  <c r="C37" i="22"/>
  <c r="D36" i="22"/>
  <c r="C36" i="22"/>
  <c r="D35" i="22"/>
  <c r="C35" i="22"/>
  <c r="D34" i="22"/>
  <c r="C34" i="22"/>
  <c r="D33" i="22"/>
  <c r="C33" i="22"/>
  <c r="D32" i="22"/>
  <c r="C32" i="22"/>
  <c r="D31" i="22"/>
  <c r="C31" i="22"/>
  <c r="D30" i="22"/>
  <c r="C30" i="22"/>
  <c r="D29" i="22"/>
  <c r="C29" i="22"/>
  <c r="D28" i="22"/>
  <c r="C28" i="22"/>
  <c r="D27" i="22"/>
  <c r="C27" i="22"/>
  <c r="D26" i="22"/>
  <c r="C26" i="22"/>
  <c r="D25" i="22"/>
  <c r="C25" i="22"/>
  <c r="D24" i="22"/>
  <c r="C24" i="22"/>
  <c r="D23" i="22"/>
  <c r="C23" i="22"/>
  <c r="D22" i="22"/>
  <c r="C22" i="22"/>
  <c r="D21" i="22"/>
  <c r="C21" i="22"/>
  <c r="D20" i="22"/>
  <c r="C20" i="22"/>
  <c r="D19" i="22"/>
  <c r="C19" i="22"/>
  <c r="D18" i="22"/>
  <c r="C18" i="22"/>
  <c r="D17" i="22"/>
  <c r="C17" i="22"/>
  <c r="D16" i="22"/>
  <c r="C16" i="22"/>
  <c r="D15" i="22"/>
  <c r="C15" i="22"/>
  <c r="D14" i="22"/>
  <c r="C14" i="22"/>
  <c r="D53" i="21"/>
  <c r="C53" i="21"/>
  <c r="D52" i="21"/>
  <c r="C52" i="21"/>
  <c r="D51" i="21"/>
  <c r="C51" i="21"/>
  <c r="D50" i="21"/>
  <c r="C50" i="21"/>
  <c r="D49" i="21"/>
  <c r="C49" i="21"/>
  <c r="D48" i="21"/>
  <c r="C48" i="21"/>
  <c r="D47" i="21"/>
  <c r="C47" i="21"/>
  <c r="D46" i="21"/>
  <c r="C46" i="21"/>
  <c r="D45" i="21"/>
  <c r="C45" i="21"/>
  <c r="D44" i="21"/>
  <c r="C44" i="21"/>
  <c r="D43" i="21"/>
  <c r="C43" i="21"/>
  <c r="D42" i="21"/>
  <c r="C42" i="21"/>
  <c r="D41" i="21"/>
  <c r="C41" i="21"/>
  <c r="D40" i="21"/>
  <c r="C40" i="21"/>
  <c r="D39" i="21"/>
  <c r="C39" i="21"/>
  <c r="D38" i="21"/>
  <c r="C38" i="21"/>
  <c r="D37" i="21"/>
  <c r="C37" i="21"/>
  <c r="D36" i="21"/>
  <c r="C36" i="21"/>
  <c r="D35" i="21"/>
  <c r="C35" i="21"/>
  <c r="D34" i="21"/>
  <c r="C34" i="21"/>
  <c r="D33" i="21"/>
  <c r="C33" i="21"/>
  <c r="D32" i="21"/>
  <c r="C32" i="21"/>
  <c r="D31" i="21"/>
  <c r="C31" i="21"/>
  <c r="D30" i="21"/>
  <c r="C30" i="21"/>
  <c r="D29" i="21"/>
  <c r="C29" i="21"/>
  <c r="D28" i="21"/>
  <c r="C28" i="21"/>
  <c r="D27" i="21"/>
  <c r="C27" i="21"/>
  <c r="D26" i="21"/>
  <c r="C26" i="21"/>
  <c r="D25" i="21"/>
  <c r="C25" i="21"/>
  <c r="D24" i="21"/>
  <c r="C24" i="21"/>
  <c r="D23" i="21"/>
  <c r="C23" i="21"/>
  <c r="D22" i="21"/>
  <c r="C22" i="21"/>
  <c r="D21" i="21"/>
  <c r="C21" i="21"/>
  <c r="D20" i="21"/>
  <c r="C20" i="21"/>
  <c r="D19" i="21"/>
  <c r="C19" i="21"/>
  <c r="D18" i="21"/>
  <c r="C18" i="21"/>
  <c r="D17" i="21"/>
  <c r="C17" i="21"/>
  <c r="D16" i="21"/>
  <c r="C16" i="21"/>
  <c r="D15" i="21"/>
  <c r="C15" i="21"/>
  <c r="D14" i="21"/>
  <c r="C14" i="21"/>
  <c r="D53" i="20"/>
  <c r="C53" i="20"/>
  <c r="D52" i="20"/>
  <c r="C52" i="20"/>
  <c r="D51" i="20"/>
  <c r="C51" i="20"/>
  <c r="D50" i="20"/>
  <c r="C50" i="20"/>
  <c r="D49" i="20"/>
  <c r="C49" i="20"/>
  <c r="D48" i="20"/>
  <c r="C48" i="20"/>
  <c r="D47" i="20"/>
  <c r="C47" i="20"/>
  <c r="D46" i="20"/>
  <c r="C46" i="20"/>
  <c r="D45" i="20"/>
  <c r="C45" i="20"/>
  <c r="D44" i="20"/>
  <c r="C44" i="20"/>
  <c r="D43" i="20"/>
  <c r="C43" i="20"/>
  <c r="D42" i="20"/>
  <c r="C42" i="20"/>
  <c r="D41" i="20"/>
  <c r="C41" i="20"/>
  <c r="D40" i="20"/>
  <c r="C40" i="20"/>
  <c r="D39" i="20"/>
  <c r="C39" i="20"/>
  <c r="D38" i="20"/>
  <c r="C38" i="20"/>
  <c r="D37" i="20"/>
  <c r="C37" i="20"/>
  <c r="D36" i="20"/>
  <c r="C36" i="20"/>
  <c r="D35" i="20"/>
  <c r="C35" i="20"/>
  <c r="D34" i="20"/>
  <c r="C34" i="20"/>
  <c r="D33" i="20"/>
  <c r="C33" i="20"/>
  <c r="D32" i="20"/>
  <c r="C32" i="20"/>
  <c r="D31" i="20"/>
  <c r="C31" i="20"/>
  <c r="D30" i="20"/>
  <c r="C30" i="20"/>
  <c r="D29" i="20"/>
  <c r="C29" i="20"/>
  <c r="D28" i="20"/>
  <c r="C28" i="20"/>
  <c r="D27" i="20"/>
  <c r="C27" i="20"/>
  <c r="D26" i="20"/>
  <c r="C26" i="20"/>
  <c r="D25" i="20"/>
  <c r="C25" i="20"/>
  <c r="D24" i="20"/>
  <c r="C24" i="20"/>
  <c r="D23" i="20"/>
  <c r="C23" i="20"/>
  <c r="D22" i="20"/>
  <c r="C22" i="20"/>
  <c r="D21" i="20"/>
  <c r="C21" i="20"/>
  <c r="D20" i="20"/>
  <c r="C20" i="20"/>
  <c r="D19" i="20"/>
  <c r="C19" i="20"/>
  <c r="D18" i="20"/>
  <c r="C18" i="20"/>
  <c r="D17" i="20"/>
  <c r="C17" i="20"/>
  <c r="D16" i="20"/>
  <c r="C16" i="20"/>
  <c r="D15" i="20"/>
  <c r="C15" i="20"/>
  <c r="D14" i="20"/>
  <c r="C14" i="20"/>
  <c r="D53" i="16"/>
  <c r="C53" i="16"/>
  <c r="D52" i="16"/>
  <c r="C52" i="16"/>
  <c r="D51" i="16"/>
  <c r="C51" i="16"/>
  <c r="D50" i="16"/>
  <c r="C50" i="16"/>
  <c r="D49" i="16"/>
  <c r="C49" i="16"/>
  <c r="D48" i="16"/>
  <c r="C48" i="16"/>
  <c r="D47" i="16"/>
  <c r="C47" i="16"/>
  <c r="D46" i="16"/>
  <c r="C46" i="16"/>
  <c r="D45" i="16"/>
  <c r="C45" i="16"/>
  <c r="D44" i="16"/>
  <c r="C44" i="16"/>
  <c r="D43" i="16"/>
  <c r="C43" i="16"/>
  <c r="D42" i="16"/>
  <c r="C42" i="16"/>
  <c r="D41" i="16"/>
  <c r="C41" i="16"/>
  <c r="D40" i="16"/>
  <c r="C40" i="16"/>
  <c r="D39" i="16"/>
  <c r="C39" i="16"/>
  <c r="D38" i="16"/>
  <c r="C38" i="16"/>
  <c r="D37" i="16"/>
  <c r="C37" i="16"/>
  <c r="D36" i="16"/>
  <c r="C36" i="16"/>
  <c r="D35" i="16"/>
  <c r="C35" i="16"/>
  <c r="D34" i="16"/>
  <c r="C34" i="16"/>
  <c r="D33" i="16"/>
  <c r="C33" i="16"/>
  <c r="D32" i="16"/>
  <c r="C32" i="16"/>
  <c r="D31" i="16"/>
  <c r="C31" i="16"/>
  <c r="D30" i="16"/>
  <c r="C30" i="16"/>
  <c r="D29" i="16"/>
  <c r="C29" i="16"/>
  <c r="D28" i="16"/>
  <c r="C28" i="16"/>
  <c r="D27" i="16"/>
  <c r="C27" i="16"/>
  <c r="D26" i="16"/>
  <c r="C26" i="16"/>
  <c r="D25" i="16"/>
  <c r="C25" i="16"/>
  <c r="D24" i="16"/>
  <c r="C24" i="16"/>
  <c r="D23" i="16"/>
  <c r="C23" i="16"/>
  <c r="D22" i="16"/>
  <c r="C22" i="16"/>
  <c r="D21" i="16"/>
  <c r="C21" i="16"/>
  <c r="D20" i="16"/>
  <c r="C20" i="16"/>
  <c r="D19" i="16"/>
  <c r="C19" i="16"/>
  <c r="D18" i="16"/>
  <c r="C18" i="16"/>
  <c r="D17" i="16"/>
  <c r="C17" i="16"/>
  <c r="D16" i="16"/>
  <c r="C16" i="16"/>
  <c r="D15" i="16"/>
  <c r="C15" i="16"/>
  <c r="D14" i="16"/>
  <c r="C14" i="16"/>
  <c r="D53" i="11"/>
  <c r="C53" i="11"/>
  <c r="D52" i="11"/>
  <c r="C52" i="11"/>
  <c r="D51" i="11"/>
  <c r="C51" i="11"/>
  <c r="D50" i="11"/>
  <c r="C50" i="11"/>
  <c r="D49" i="11"/>
  <c r="C49" i="11"/>
  <c r="D48" i="11"/>
  <c r="C48" i="11"/>
  <c r="D47" i="11"/>
  <c r="C47" i="11"/>
  <c r="D46" i="11"/>
  <c r="C46" i="11"/>
  <c r="D45" i="11"/>
  <c r="C45" i="11"/>
  <c r="D44" i="11"/>
  <c r="C44" i="11"/>
  <c r="D43" i="11"/>
  <c r="C43" i="11"/>
  <c r="D42" i="11"/>
  <c r="C42" i="11"/>
  <c r="D41" i="11"/>
  <c r="C41" i="11"/>
  <c r="D40" i="11"/>
  <c r="C40" i="11"/>
  <c r="D39" i="11"/>
  <c r="C39" i="11"/>
  <c r="D38" i="11"/>
  <c r="C38" i="11"/>
  <c r="D37" i="11"/>
  <c r="C37" i="11"/>
  <c r="D36" i="11"/>
  <c r="C36" i="11"/>
  <c r="D35" i="11"/>
  <c r="C35" i="11"/>
  <c r="D34" i="11"/>
  <c r="C34" i="11"/>
  <c r="D33" i="11"/>
  <c r="C33" i="11"/>
  <c r="D32" i="11"/>
  <c r="C32" i="11"/>
  <c r="D31" i="11"/>
  <c r="C31" i="11"/>
  <c r="D30" i="11"/>
  <c r="C30" i="11"/>
  <c r="D29" i="11"/>
  <c r="C29" i="11"/>
  <c r="D28" i="11"/>
  <c r="C28" i="11"/>
  <c r="D27" i="11"/>
  <c r="C27" i="11"/>
  <c r="D26" i="11"/>
  <c r="C26" i="11"/>
  <c r="D25" i="11"/>
  <c r="C25" i="11"/>
  <c r="D24" i="11"/>
  <c r="C24" i="11"/>
  <c r="D23" i="11"/>
  <c r="C23" i="11"/>
  <c r="D22" i="11"/>
  <c r="C22" i="11"/>
  <c r="D21" i="11"/>
  <c r="C21" i="11"/>
  <c r="D20" i="11"/>
  <c r="C20" i="11"/>
  <c r="D19" i="11"/>
  <c r="C19" i="11"/>
  <c r="D18" i="11"/>
  <c r="C18" i="11"/>
  <c r="D17" i="11"/>
  <c r="C17" i="11"/>
  <c r="D16" i="11"/>
  <c r="C16" i="11"/>
  <c r="D15" i="11"/>
  <c r="C15" i="11"/>
  <c r="D14" i="11"/>
  <c r="C14" i="11"/>
  <c r="D53" i="12"/>
  <c r="C53" i="12"/>
  <c r="D52" i="12"/>
  <c r="C52" i="12"/>
  <c r="D51" i="12"/>
  <c r="C51" i="12"/>
  <c r="D50" i="12"/>
  <c r="C50" i="12"/>
  <c r="D49" i="12"/>
  <c r="C49" i="12"/>
  <c r="D48" i="12"/>
  <c r="C48" i="12"/>
  <c r="D47" i="12"/>
  <c r="C47" i="12"/>
  <c r="D46" i="12"/>
  <c r="C46" i="12"/>
  <c r="D45" i="12"/>
  <c r="C45" i="12"/>
  <c r="D44" i="12"/>
  <c r="C44" i="12"/>
  <c r="D43" i="12"/>
  <c r="C43" i="12"/>
  <c r="D42" i="12"/>
  <c r="C42" i="12"/>
  <c r="D41" i="12"/>
  <c r="C41" i="12"/>
  <c r="D40" i="12"/>
  <c r="C40" i="12"/>
  <c r="D39" i="12"/>
  <c r="C39" i="12"/>
  <c r="D38" i="12"/>
  <c r="C38" i="12"/>
  <c r="D37" i="12"/>
  <c r="C37" i="12"/>
  <c r="D36" i="12"/>
  <c r="C36" i="12"/>
  <c r="D35" i="12"/>
  <c r="C35" i="12"/>
  <c r="D34" i="12"/>
  <c r="C34" i="12"/>
  <c r="D33" i="12"/>
  <c r="C33" i="12"/>
  <c r="D32" i="12"/>
  <c r="C32" i="12"/>
  <c r="D31" i="12"/>
  <c r="C31" i="12"/>
  <c r="D30" i="12"/>
  <c r="C30" i="12"/>
  <c r="D29" i="12"/>
  <c r="C29" i="12"/>
  <c r="D28" i="12"/>
  <c r="C28" i="12"/>
  <c r="D27" i="12"/>
  <c r="C27" i="12"/>
  <c r="D26" i="12"/>
  <c r="C26" i="12"/>
  <c r="D25" i="12"/>
  <c r="C25" i="12"/>
  <c r="D24" i="12"/>
  <c r="C24" i="12"/>
  <c r="D23" i="12"/>
  <c r="C23" i="12"/>
  <c r="D22" i="12"/>
  <c r="C22" i="12"/>
  <c r="D21" i="12"/>
  <c r="C21" i="12"/>
  <c r="D20" i="12"/>
  <c r="C20" i="12"/>
  <c r="D19" i="12"/>
  <c r="C19" i="12"/>
  <c r="D18" i="12"/>
  <c r="C18" i="12"/>
  <c r="D17" i="12"/>
  <c r="C17" i="12"/>
  <c r="D16" i="12"/>
  <c r="C16" i="12"/>
  <c r="D15" i="12"/>
  <c r="C15" i="12"/>
  <c r="D14" i="12"/>
  <c r="C14" i="12"/>
  <c r="D53" i="10"/>
  <c r="C53" i="10"/>
  <c r="D52" i="10"/>
  <c r="C52" i="10"/>
  <c r="D51" i="10"/>
  <c r="C51" i="10"/>
  <c r="D50" i="10"/>
  <c r="C50" i="10"/>
  <c r="D49" i="10"/>
  <c r="C49" i="10"/>
  <c r="D48" i="10"/>
  <c r="C48" i="10"/>
  <c r="D47" i="10"/>
  <c r="C47" i="10"/>
  <c r="D46" i="10"/>
  <c r="C46" i="10"/>
  <c r="D45" i="10"/>
  <c r="C45" i="10"/>
  <c r="D44" i="10"/>
  <c r="C44" i="10"/>
  <c r="D43" i="10"/>
  <c r="C43" i="10"/>
  <c r="D42" i="10"/>
  <c r="C42" i="10"/>
  <c r="D41" i="10"/>
  <c r="C41" i="10"/>
  <c r="D40" i="10"/>
  <c r="C40" i="10"/>
  <c r="D39" i="10"/>
  <c r="C39" i="10"/>
  <c r="D38" i="10"/>
  <c r="C38" i="10"/>
  <c r="D37" i="10"/>
  <c r="C37" i="10"/>
  <c r="D36" i="10"/>
  <c r="C36" i="10"/>
  <c r="D35" i="10"/>
  <c r="C35" i="10"/>
  <c r="D34" i="10"/>
  <c r="C34" i="10"/>
  <c r="D33" i="10"/>
  <c r="C33" i="10"/>
  <c r="D32" i="10"/>
  <c r="C32" i="10"/>
  <c r="D31" i="10"/>
  <c r="C31" i="10"/>
  <c r="D30" i="10"/>
  <c r="C30" i="10"/>
  <c r="D29" i="10"/>
  <c r="C29" i="10"/>
  <c r="D28" i="10"/>
  <c r="C28" i="10"/>
  <c r="D27" i="10"/>
  <c r="C27" i="10"/>
  <c r="D26" i="10"/>
  <c r="C26" i="10"/>
  <c r="D25" i="10"/>
  <c r="C25" i="10"/>
  <c r="D24" i="10"/>
  <c r="C24" i="10"/>
  <c r="D23" i="10"/>
  <c r="C23" i="10"/>
  <c r="D22" i="10"/>
  <c r="C22" i="10"/>
  <c r="D21" i="10"/>
  <c r="C21" i="10"/>
  <c r="D20" i="10"/>
  <c r="C20" i="10"/>
  <c r="D19" i="10"/>
  <c r="C19" i="10"/>
  <c r="D18" i="10"/>
  <c r="C18" i="10"/>
  <c r="D17" i="10"/>
  <c r="C17" i="10"/>
  <c r="D16" i="10"/>
  <c r="C16" i="10"/>
  <c r="D15" i="10"/>
  <c r="C15" i="10"/>
  <c r="D14" i="10"/>
  <c r="C14" i="10"/>
  <c r="D53" i="9"/>
  <c r="C53" i="9"/>
  <c r="D52" i="9"/>
  <c r="C52" i="9"/>
  <c r="D51" i="9"/>
  <c r="C51" i="9"/>
  <c r="D50" i="9"/>
  <c r="C50" i="9"/>
  <c r="D49" i="9"/>
  <c r="C49" i="9"/>
  <c r="D48" i="9"/>
  <c r="C48" i="9"/>
  <c r="D47" i="9"/>
  <c r="C47" i="9"/>
  <c r="D46" i="9"/>
  <c r="C46" i="9"/>
  <c r="D45" i="9"/>
  <c r="C45" i="9"/>
  <c r="D44" i="9"/>
  <c r="C44" i="9"/>
  <c r="D43" i="9"/>
  <c r="C43" i="9"/>
  <c r="D42" i="9"/>
  <c r="C42" i="9"/>
  <c r="D41" i="9"/>
  <c r="C41" i="9"/>
  <c r="D40" i="9"/>
  <c r="C40" i="9"/>
  <c r="D39" i="9"/>
  <c r="C39" i="9"/>
  <c r="D38" i="9"/>
  <c r="C38" i="9"/>
  <c r="D37" i="9"/>
  <c r="C37" i="9"/>
  <c r="D36" i="9"/>
  <c r="C36" i="9"/>
  <c r="D35" i="9"/>
  <c r="C35" i="9"/>
  <c r="D34" i="9"/>
  <c r="C34" i="9"/>
  <c r="D33" i="9"/>
  <c r="C33" i="9"/>
  <c r="D32" i="9"/>
  <c r="C32" i="9"/>
  <c r="D31" i="9"/>
  <c r="C31" i="9"/>
  <c r="D30" i="9"/>
  <c r="C30" i="9"/>
  <c r="D29" i="9"/>
  <c r="C29" i="9"/>
  <c r="D28" i="9"/>
  <c r="C28" i="9"/>
  <c r="D27" i="9"/>
  <c r="C27" i="9"/>
  <c r="D26" i="9"/>
  <c r="C26" i="9"/>
  <c r="D25" i="9"/>
  <c r="C25" i="9"/>
  <c r="D24" i="9"/>
  <c r="C24" i="9"/>
  <c r="D23" i="9"/>
  <c r="C23" i="9"/>
  <c r="D22" i="9"/>
  <c r="C22" i="9"/>
  <c r="D21" i="9"/>
  <c r="C21" i="9"/>
  <c r="D20" i="9"/>
  <c r="C20" i="9"/>
  <c r="D19" i="9"/>
  <c r="C19" i="9"/>
  <c r="D18" i="9"/>
  <c r="C18" i="9"/>
  <c r="D17" i="9"/>
  <c r="C17" i="9"/>
  <c r="D16" i="9"/>
  <c r="C16" i="9"/>
  <c r="D15" i="9"/>
  <c r="C15" i="9"/>
  <c r="D14" i="9"/>
  <c r="C14" i="9"/>
  <c r="D53" i="8"/>
  <c r="C53" i="8"/>
  <c r="D52" i="8"/>
  <c r="C52" i="8"/>
  <c r="D51" i="8"/>
  <c r="C51" i="8"/>
  <c r="D50" i="8"/>
  <c r="C50" i="8"/>
  <c r="D49" i="8"/>
  <c r="C49" i="8"/>
  <c r="D48" i="8"/>
  <c r="C48" i="8"/>
  <c r="D47" i="8"/>
  <c r="C47" i="8"/>
  <c r="D46" i="8"/>
  <c r="C46" i="8"/>
  <c r="D45" i="8"/>
  <c r="C45" i="8"/>
  <c r="D44" i="8"/>
  <c r="C44" i="8"/>
  <c r="D43" i="8"/>
  <c r="C43" i="8"/>
  <c r="D42" i="8"/>
  <c r="C42" i="8"/>
  <c r="D41" i="8"/>
  <c r="C41" i="8"/>
  <c r="D40" i="8"/>
  <c r="C40" i="8"/>
  <c r="D39" i="8"/>
  <c r="C39" i="8"/>
  <c r="D38" i="8"/>
  <c r="C38" i="8"/>
  <c r="D37" i="8"/>
  <c r="C37" i="8"/>
  <c r="D36" i="8"/>
  <c r="C36" i="8"/>
  <c r="D35" i="8"/>
  <c r="C35" i="8"/>
  <c r="D34" i="8"/>
  <c r="C34" i="8"/>
  <c r="D33" i="8"/>
  <c r="C33" i="8"/>
  <c r="D32" i="8"/>
  <c r="C32" i="8"/>
  <c r="D31" i="8"/>
  <c r="C31" i="8"/>
  <c r="D30" i="8"/>
  <c r="C30" i="8"/>
  <c r="D29" i="8"/>
  <c r="C29" i="8"/>
  <c r="D28" i="8"/>
  <c r="C28" i="8"/>
  <c r="D27" i="8"/>
  <c r="C27" i="8"/>
  <c r="D26" i="8"/>
  <c r="C26" i="8"/>
  <c r="D25" i="8"/>
  <c r="C25" i="8"/>
  <c r="D24" i="8"/>
  <c r="C24" i="8"/>
  <c r="D23" i="8"/>
  <c r="C23" i="8"/>
  <c r="D22" i="8"/>
  <c r="C22" i="8"/>
  <c r="D21" i="8"/>
  <c r="C21" i="8"/>
  <c r="D20" i="8"/>
  <c r="C20" i="8"/>
  <c r="D19" i="8"/>
  <c r="C19" i="8"/>
  <c r="D18" i="8"/>
  <c r="C18" i="8"/>
  <c r="D17" i="8"/>
  <c r="C17" i="8"/>
  <c r="D16" i="8"/>
  <c r="C16" i="8"/>
  <c r="D15" i="8"/>
  <c r="C15" i="8"/>
  <c r="D14" i="8"/>
  <c r="C14" i="8"/>
  <c r="F48" i="27"/>
  <c r="E48" i="27"/>
  <c r="D48" i="27"/>
  <c r="F47" i="27"/>
  <c r="E47" i="27"/>
  <c r="D47" i="27"/>
  <c r="F46" i="27"/>
  <c r="E46" i="27"/>
  <c r="D46" i="27"/>
  <c r="F45" i="27"/>
  <c r="E45" i="27"/>
  <c r="D45" i="27"/>
  <c r="F44" i="27"/>
  <c r="E44" i="27"/>
  <c r="D44" i="27"/>
  <c r="F43" i="27"/>
  <c r="E43" i="27"/>
  <c r="D43" i="27"/>
  <c r="F42" i="27"/>
  <c r="E42" i="27"/>
  <c r="D42" i="27"/>
  <c r="F41" i="27"/>
  <c r="E41" i="27"/>
  <c r="D41" i="27"/>
  <c r="F40" i="27"/>
  <c r="E40" i="27"/>
  <c r="D40" i="27"/>
  <c r="F39" i="27"/>
  <c r="E39" i="27"/>
  <c r="D39" i="27"/>
  <c r="F38" i="27"/>
  <c r="E38" i="27"/>
  <c r="D38" i="27"/>
  <c r="F37" i="27"/>
  <c r="E37" i="27"/>
  <c r="D37" i="27"/>
  <c r="F36" i="27"/>
  <c r="E36" i="27"/>
  <c r="D36" i="27"/>
  <c r="F35" i="27"/>
  <c r="E35" i="27"/>
  <c r="D35" i="27"/>
  <c r="F34" i="27"/>
  <c r="E34" i="27"/>
  <c r="D34" i="27"/>
  <c r="F33" i="27"/>
  <c r="E33" i="27"/>
  <c r="D33" i="27"/>
  <c r="F32" i="27"/>
  <c r="E32" i="27"/>
  <c r="D32" i="27"/>
  <c r="F31" i="27"/>
  <c r="E31" i="27"/>
  <c r="D31" i="27"/>
  <c r="F30" i="27"/>
  <c r="E30" i="27"/>
  <c r="D30" i="27"/>
  <c r="F29" i="27"/>
  <c r="E29" i="27"/>
  <c r="D29" i="27"/>
  <c r="F28" i="27"/>
  <c r="E28" i="27"/>
  <c r="D28" i="27"/>
  <c r="F27" i="27"/>
  <c r="E27" i="27"/>
  <c r="D27" i="27"/>
  <c r="F26" i="27"/>
  <c r="E26" i="27"/>
  <c r="D26" i="27"/>
  <c r="F25" i="27"/>
  <c r="E25" i="27"/>
  <c r="D25" i="27"/>
  <c r="F24" i="27"/>
  <c r="E24" i="27"/>
  <c r="D24" i="27"/>
  <c r="F23" i="27"/>
  <c r="E23" i="27"/>
  <c r="D23" i="27"/>
  <c r="F22" i="27"/>
  <c r="E22" i="27"/>
  <c r="D22" i="27"/>
  <c r="F21" i="27"/>
  <c r="E21" i="27"/>
  <c r="D21" i="27"/>
  <c r="F20" i="27"/>
  <c r="E20" i="27"/>
  <c r="D20" i="27"/>
  <c r="F19" i="27"/>
  <c r="E19" i="27"/>
  <c r="D19" i="27"/>
  <c r="F18" i="27"/>
  <c r="E18" i="27"/>
  <c r="D18" i="27"/>
  <c r="F17" i="27"/>
  <c r="E17" i="27"/>
  <c r="D17" i="27"/>
  <c r="F16" i="27"/>
  <c r="E16" i="27"/>
  <c r="D16" i="27"/>
  <c r="F15" i="27"/>
  <c r="E15" i="27"/>
  <c r="D15" i="27"/>
  <c r="F14" i="27"/>
  <c r="E14" i="27"/>
  <c r="D14" i="27"/>
  <c r="F13" i="27"/>
  <c r="E13" i="27"/>
  <c r="D13" i="27"/>
  <c r="F12" i="27"/>
  <c r="E12" i="27"/>
  <c r="D12" i="27"/>
  <c r="F11" i="27"/>
  <c r="E11" i="27"/>
  <c r="D11" i="27"/>
  <c r="F10" i="27"/>
  <c r="E10" i="27"/>
  <c r="D10" i="27"/>
  <c r="F9" i="27"/>
  <c r="E9" i="27"/>
  <c r="D9" i="27"/>
  <c r="D44" i="34"/>
  <c r="C44" i="34"/>
  <c r="B44" i="34"/>
  <c r="D43" i="34"/>
  <c r="C43" i="34"/>
  <c r="B43" i="34"/>
  <c r="D42" i="34"/>
  <c r="C42" i="34"/>
  <c r="B42" i="34"/>
  <c r="E41" i="34"/>
  <c r="D41" i="34"/>
  <c r="C41" i="34"/>
  <c r="B41" i="34"/>
  <c r="E40" i="34"/>
  <c r="D40" i="34"/>
  <c r="C40" i="34"/>
  <c r="B40" i="34"/>
  <c r="E39" i="34"/>
  <c r="D39" i="34"/>
  <c r="C39" i="34"/>
  <c r="B39" i="34"/>
  <c r="E38" i="34"/>
  <c r="D38" i="34"/>
  <c r="C38" i="34"/>
  <c r="B38" i="34"/>
  <c r="E37" i="34"/>
  <c r="D37" i="34"/>
  <c r="C37" i="34"/>
  <c r="B37" i="34"/>
  <c r="E36" i="34"/>
  <c r="D36" i="34"/>
  <c r="C36" i="34"/>
  <c r="B36" i="34"/>
  <c r="E35" i="34"/>
  <c r="D35" i="34"/>
  <c r="C35" i="34"/>
  <c r="B35" i="34"/>
  <c r="E34" i="34"/>
  <c r="D34" i="34"/>
  <c r="C34" i="34"/>
  <c r="B34" i="34"/>
  <c r="E33" i="34"/>
  <c r="D33" i="34"/>
  <c r="C33" i="34"/>
  <c r="B33" i="34"/>
  <c r="E32" i="34"/>
  <c r="D32" i="34"/>
  <c r="C32" i="34"/>
  <c r="B32" i="34"/>
  <c r="E31" i="34"/>
  <c r="D31" i="34"/>
  <c r="C31" i="34"/>
  <c r="B31" i="34"/>
  <c r="E30" i="34"/>
  <c r="D30" i="34"/>
  <c r="C30" i="34"/>
  <c r="B30" i="34"/>
  <c r="E29" i="34"/>
  <c r="D29" i="34"/>
  <c r="C29" i="34"/>
  <c r="B29" i="34"/>
  <c r="E28" i="34"/>
  <c r="D28" i="34"/>
  <c r="C28" i="34"/>
  <c r="B28" i="34"/>
  <c r="E27" i="34"/>
  <c r="D27" i="34"/>
  <c r="C27" i="34"/>
  <c r="B27" i="34"/>
  <c r="E26" i="34"/>
  <c r="D26" i="34"/>
  <c r="C26" i="34"/>
  <c r="B26" i="34"/>
  <c r="E25" i="34"/>
  <c r="D25" i="34"/>
  <c r="C25" i="34"/>
  <c r="B25" i="34"/>
  <c r="E24" i="34"/>
  <c r="D24" i="34"/>
  <c r="C24" i="34"/>
  <c r="B24" i="34"/>
  <c r="E23" i="34"/>
  <c r="D23" i="34"/>
  <c r="C23" i="34"/>
  <c r="B23" i="34"/>
  <c r="E22" i="34"/>
  <c r="D22" i="34"/>
  <c r="C22" i="34"/>
  <c r="B22" i="34"/>
  <c r="E21" i="34"/>
  <c r="D21" i="34"/>
  <c r="C21" i="34"/>
  <c r="B21" i="34"/>
  <c r="E20" i="34"/>
  <c r="D20" i="34"/>
  <c r="C20" i="34"/>
  <c r="B20" i="34"/>
  <c r="E19" i="34"/>
  <c r="D19" i="34"/>
  <c r="C19" i="34"/>
  <c r="B19" i="34"/>
  <c r="E18" i="34"/>
  <c r="D18" i="34"/>
  <c r="C18" i="34"/>
  <c r="B18" i="34"/>
  <c r="E17" i="34"/>
  <c r="D17" i="34"/>
  <c r="C17" i="34"/>
  <c r="B17" i="34"/>
  <c r="E16" i="34"/>
  <c r="D16" i="34"/>
  <c r="C16" i="34"/>
  <c r="B16" i="34"/>
  <c r="E15" i="34"/>
  <c r="D15" i="34"/>
  <c r="C15" i="34"/>
  <c r="B15" i="34"/>
  <c r="E14" i="34"/>
  <c r="D14" i="34"/>
  <c r="C14" i="34"/>
  <c r="B14" i="34"/>
  <c r="E13" i="34"/>
  <c r="D13" i="34"/>
  <c r="C13" i="34"/>
  <c r="B13" i="34"/>
  <c r="E12" i="34"/>
  <c r="D12" i="34"/>
  <c r="C12" i="34"/>
  <c r="B12" i="34"/>
  <c r="E11" i="34"/>
  <c r="D11" i="34"/>
  <c r="C11" i="34"/>
  <c r="B11" i="34"/>
  <c r="E10" i="34"/>
  <c r="D10" i="34"/>
  <c r="C10" i="34"/>
  <c r="B10" i="34"/>
  <c r="E9" i="34"/>
  <c r="D9" i="34"/>
  <c r="C9" i="34"/>
  <c r="B9" i="34"/>
  <c r="E8" i="34"/>
  <c r="D8" i="34"/>
  <c r="C8" i="34"/>
  <c r="B8" i="34"/>
  <c r="E7" i="34"/>
  <c r="D7" i="34"/>
  <c r="C7" i="34"/>
  <c r="B7" i="34"/>
  <c r="E6" i="34"/>
  <c r="D6" i="34"/>
  <c r="C6" i="34"/>
  <c r="B6" i="34"/>
  <c r="E5" i="34"/>
  <c r="D5" i="34"/>
  <c r="C5" i="34"/>
  <c r="B5" i="34"/>
  <c r="H25" i="31"/>
  <c r="H24" i="31"/>
  <c r="H21" i="31"/>
  <c r="H20" i="31"/>
  <c r="H19" i="31"/>
  <c r="H17" i="31"/>
  <c r="H16" i="31"/>
  <c r="H14" i="31"/>
  <c r="H12" i="31"/>
  <c r="H11" i="31"/>
  <c r="H10" i="31"/>
  <c r="H9" i="31"/>
  <c r="H8" i="31"/>
  <c r="I7" i="31"/>
  <c r="H7" i="31"/>
  <c r="H6" i="31"/>
  <c r="H5" i="31"/>
  <c r="C4" i="50"/>
  <c r="K2" i="50"/>
  <c r="J41" i="27"/>
  <c r="J42" i="27"/>
  <c r="J43" i="27"/>
  <c r="J44" i="27"/>
  <c r="J45" i="27"/>
  <c r="J46" i="27"/>
  <c r="J47" i="27"/>
  <c r="J48" i="27"/>
  <c r="U34" i="41"/>
  <c r="I14" i="22"/>
  <c r="J30" i="37" s="1"/>
  <c r="H14" i="22"/>
  <c r="D9" i="44"/>
  <c r="I14" i="44"/>
  <c r="H14" i="44"/>
  <c r="I14" i="18"/>
  <c r="J43" i="37" s="1"/>
  <c r="H14" i="18"/>
  <c r="F43" i="37" s="1"/>
  <c r="I14" i="17"/>
  <c r="J40" i="37" s="1"/>
  <c r="H14" i="17"/>
  <c r="F40" i="37" s="1"/>
  <c r="I14" i="15"/>
  <c r="J38" i="37" s="1"/>
  <c r="H14" i="15"/>
  <c r="F38" i="37" s="1"/>
  <c r="I14" i="14"/>
  <c r="J36" i="37" s="1"/>
  <c r="H14" i="14"/>
  <c r="F36" i="37" s="1"/>
  <c r="I14" i="13"/>
  <c r="H14" i="13"/>
  <c r="I14" i="21"/>
  <c r="J28" i="37" s="1"/>
  <c r="H14" i="21"/>
  <c r="F28" i="37" s="1"/>
  <c r="I14" i="20"/>
  <c r="J26" i="37" s="1"/>
  <c r="H14" i="20"/>
  <c r="F26" i="37"/>
  <c r="F21" i="37"/>
  <c r="I14" i="11"/>
  <c r="J23" i="37" s="1"/>
  <c r="H14" i="11"/>
  <c r="F23" i="37" s="1"/>
  <c r="G23" i="37" s="1"/>
  <c r="I14" i="12"/>
  <c r="J19" i="37" s="1"/>
  <c r="H14" i="12"/>
  <c r="I14" i="10"/>
  <c r="J17" i="37" s="1"/>
  <c r="H14" i="10"/>
  <c r="F17" i="37" s="1"/>
  <c r="I14" i="9"/>
  <c r="J15" i="37" s="1"/>
  <c r="H14" i="9"/>
  <c r="F15" i="37" s="1"/>
  <c r="I14" i="8"/>
  <c r="J13" i="37" s="1"/>
  <c r="D66" i="48"/>
  <c r="D67" i="48"/>
  <c r="D51" i="48"/>
  <c r="D48" i="48"/>
  <c r="D45" i="48"/>
  <c r="D42" i="48"/>
  <c r="F57" i="48"/>
  <c r="F56" i="48"/>
  <c r="F55" i="48"/>
  <c r="F53" i="48"/>
  <c r="F52" i="48"/>
  <c r="F51" i="48"/>
  <c r="F50" i="48"/>
  <c r="F49" i="48"/>
  <c r="F48" i="48"/>
  <c r="F47" i="48"/>
  <c r="F46" i="48"/>
  <c r="F45" i="48"/>
  <c r="F44" i="48"/>
  <c r="F43" i="48"/>
  <c r="F42" i="48"/>
  <c r="F39" i="48"/>
  <c r="F38" i="48"/>
  <c r="F37" i="48"/>
  <c r="F36" i="48"/>
  <c r="F35" i="48"/>
  <c r="F34" i="48"/>
  <c r="F33" i="48"/>
  <c r="F32" i="48"/>
  <c r="F31" i="48"/>
  <c r="F28" i="48"/>
  <c r="F27" i="48"/>
  <c r="F26" i="48"/>
  <c r="F25" i="48"/>
  <c r="F24" i="48"/>
  <c r="F23" i="48"/>
  <c r="F22" i="48"/>
  <c r="F21" i="48"/>
  <c r="F20" i="48"/>
  <c r="F19" i="48"/>
  <c r="F18" i="48"/>
  <c r="F17" i="48"/>
  <c r="F16" i="48"/>
  <c r="F15" i="48"/>
  <c r="F14" i="48"/>
  <c r="F13" i="48"/>
  <c r="E4" i="48"/>
  <c r="E3" i="48"/>
  <c r="F34" i="37"/>
  <c r="J21" i="37"/>
  <c r="M26" i="37"/>
  <c r="F30" i="37"/>
  <c r="G30" i="37" s="1"/>
  <c r="J58" i="37"/>
  <c r="J62" i="37"/>
  <c r="J61" i="37"/>
  <c r="E55" i="37"/>
  <c r="F35" i="37"/>
  <c r="E56" i="37"/>
  <c r="D41" i="37"/>
  <c r="D39" i="37"/>
  <c r="D37" i="37"/>
  <c r="D35" i="37"/>
  <c r="D44" i="37"/>
  <c r="D46" i="37"/>
  <c r="U121" i="41"/>
  <c r="U120" i="41"/>
  <c r="U119" i="41"/>
  <c r="U118" i="41"/>
  <c r="U117" i="41"/>
  <c r="U116" i="41"/>
  <c r="U115" i="41"/>
  <c r="U114" i="41"/>
  <c r="U113" i="41"/>
  <c r="U112" i="41"/>
  <c r="U111" i="41"/>
  <c r="U110" i="41"/>
  <c r="U109" i="41"/>
  <c r="U108" i="41"/>
  <c r="U107" i="41"/>
  <c r="U106" i="41"/>
  <c r="U105" i="41"/>
  <c r="U104" i="41"/>
  <c r="U102" i="41"/>
  <c r="U101" i="41"/>
  <c r="U100" i="41"/>
  <c r="U99" i="41"/>
  <c r="U98" i="41"/>
  <c r="U97" i="41"/>
  <c r="U96" i="41"/>
  <c r="U95" i="41"/>
  <c r="U94" i="41"/>
  <c r="U93" i="41"/>
  <c r="U92" i="41"/>
  <c r="U91" i="41"/>
  <c r="U90" i="41"/>
  <c r="U89" i="41"/>
  <c r="U88" i="41"/>
  <c r="U87" i="41"/>
  <c r="U86" i="41"/>
  <c r="U85" i="41"/>
  <c r="U84" i="41"/>
  <c r="U83" i="41"/>
  <c r="U82" i="41"/>
  <c r="U81" i="41"/>
  <c r="U80" i="41"/>
  <c r="U79" i="41"/>
  <c r="U78" i="41"/>
  <c r="U77" i="41"/>
  <c r="U76" i="41"/>
  <c r="U75" i="41"/>
  <c r="U74" i="41"/>
  <c r="U73" i="41"/>
  <c r="U72" i="41"/>
  <c r="U71" i="41"/>
  <c r="U70" i="41"/>
  <c r="U69" i="41"/>
  <c r="U68" i="41"/>
  <c r="U67" i="41"/>
  <c r="U66" i="41"/>
  <c r="U65" i="41"/>
  <c r="U64" i="41"/>
  <c r="U63" i="41"/>
  <c r="U62" i="41"/>
  <c r="U61" i="41"/>
  <c r="U60" i="41"/>
  <c r="U59" i="41"/>
  <c r="U58" i="41"/>
  <c r="U57" i="41"/>
  <c r="U56" i="41"/>
  <c r="U55" i="41"/>
  <c r="U54" i="41"/>
  <c r="U53" i="41"/>
  <c r="U52" i="41"/>
  <c r="U51" i="41"/>
  <c r="U50" i="41"/>
  <c r="U49" i="41"/>
  <c r="U48" i="41"/>
  <c r="U47" i="41"/>
  <c r="U46" i="41"/>
  <c r="U45" i="41"/>
  <c r="U44" i="41"/>
  <c r="U43" i="41"/>
  <c r="U42" i="41"/>
  <c r="U41" i="41"/>
  <c r="U40" i="41"/>
  <c r="U39" i="41"/>
  <c r="T39" i="41"/>
  <c r="U38" i="41"/>
  <c r="U37" i="41"/>
  <c r="T37" i="41"/>
  <c r="U36" i="41"/>
  <c r="U35" i="41"/>
  <c r="U33" i="41"/>
  <c r="U32" i="41"/>
  <c r="U103" i="41"/>
  <c r="T121" i="41"/>
  <c r="T120" i="41"/>
  <c r="T119" i="41"/>
  <c r="T118" i="41"/>
  <c r="T117" i="41"/>
  <c r="T116" i="41"/>
  <c r="T115" i="41"/>
  <c r="T114" i="41"/>
  <c r="T113" i="41"/>
  <c r="T112" i="41"/>
  <c r="T111" i="41"/>
  <c r="T110" i="41"/>
  <c r="T109" i="41"/>
  <c r="T108" i="41"/>
  <c r="T107" i="41"/>
  <c r="T106" i="41"/>
  <c r="T105" i="41"/>
  <c r="T104" i="41"/>
  <c r="T103" i="41"/>
  <c r="T102" i="41"/>
  <c r="T101" i="41"/>
  <c r="T100" i="41"/>
  <c r="T99" i="41"/>
  <c r="T98" i="41"/>
  <c r="T97" i="41"/>
  <c r="T96" i="41"/>
  <c r="T95" i="41"/>
  <c r="T94" i="41"/>
  <c r="T93" i="41"/>
  <c r="T92" i="41"/>
  <c r="T91" i="41"/>
  <c r="T90" i="41"/>
  <c r="T89" i="41"/>
  <c r="T88" i="41"/>
  <c r="T87" i="41"/>
  <c r="T86" i="41"/>
  <c r="T85" i="41"/>
  <c r="T84" i="41"/>
  <c r="T83" i="41"/>
  <c r="T82" i="41"/>
  <c r="T81" i="41"/>
  <c r="T80" i="41"/>
  <c r="T79" i="41"/>
  <c r="T78" i="41"/>
  <c r="T77" i="41"/>
  <c r="T76" i="41"/>
  <c r="T75" i="41"/>
  <c r="T74" i="41"/>
  <c r="T73" i="41"/>
  <c r="T72" i="41"/>
  <c r="T71" i="41"/>
  <c r="T70" i="41"/>
  <c r="T69" i="41"/>
  <c r="T68" i="41"/>
  <c r="T67" i="41"/>
  <c r="T66" i="41"/>
  <c r="T65" i="41"/>
  <c r="T64" i="41"/>
  <c r="T63" i="41"/>
  <c r="T62" i="41"/>
  <c r="T61" i="41"/>
  <c r="T60" i="41"/>
  <c r="T59" i="41"/>
  <c r="T58" i="41"/>
  <c r="T57" i="41"/>
  <c r="T56" i="41"/>
  <c r="T55" i="41"/>
  <c r="T54" i="41"/>
  <c r="T53" i="41"/>
  <c r="T52" i="41"/>
  <c r="T51" i="41"/>
  <c r="T50" i="41"/>
  <c r="T49" i="41"/>
  <c r="T48" i="41"/>
  <c r="T47" i="41"/>
  <c r="T46" i="41"/>
  <c r="T45" i="41"/>
  <c r="T44" i="41"/>
  <c r="T43" i="41"/>
  <c r="T42" i="41"/>
  <c r="T41" i="41"/>
  <c r="T40" i="41"/>
  <c r="T38" i="41"/>
  <c r="T36" i="41"/>
  <c r="T35" i="41"/>
  <c r="T34" i="41"/>
  <c r="T33" i="41"/>
  <c r="T32" i="41"/>
  <c r="U31" i="41"/>
  <c r="U30" i="41"/>
  <c r="U29" i="41"/>
  <c r="T31" i="41"/>
  <c r="T30" i="41"/>
  <c r="T29" i="41"/>
  <c r="T26" i="41"/>
  <c r="U28" i="41"/>
  <c r="U27" i="41"/>
  <c r="U26" i="41"/>
  <c r="U25" i="41"/>
  <c r="U24" i="41"/>
  <c r="U23" i="41"/>
  <c r="U22" i="41"/>
  <c r="U21" i="41"/>
  <c r="T21" i="41"/>
  <c r="U20" i="41"/>
  <c r="T20" i="41"/>
  <c r="S20" i="41"/>
  <c r="U19" i="41"/>
  <c r="U18" i="41"/>
  <c r="U17" i="41"/>
  <c r="T28" i="41"/>
  <c r="T27" i="41"/>
  <c r="T25" i="41"/>
  <c r="T24" i="41"/>
  <c r="T23" i="41"/>
  <c r="T22" i="41"/>
  <c r="T19" i="41"/>
  <c r="T18" i="41"/>
  <c r="T17" i="41"/>
  <c r="U16" i="41"/>
  <c r="U14" i="41"/>
  <c r="T14" i="41"/>
  <c r="U15" i="41"/>
  <c r="M44" i="37"/>
  <c r="M43" i="37"/>
  <c r="J44" i="37"/>
  <c r="F44" i="37"/>
  <c r="D8" i="44"/>
  <c r="D7" i="44"/>
  <c r="D4" i="44"/>
  <c r="C38" i="2"/>
  <c r="C37" i="2"/>
  <c r="C36" i="2"/>
  <c r="C35" i="2"/>
  <c r="D6" i="18" s="1"/>
  <c r="F47" i="25"/>
  <c r="F46" i="25"/>
  <c r="F45" i="25"/>
  <c r="F44" i="25"/>
  <c r="F43" i="25"/>
  <c r="F42" i="25"/>
  <c r="F41" i="25"/>
  <c r="D108" i="41"/>
  <c r="D109" i="41"/>
  <c r="D90" i="41"/>
  <c r="D91" i="41"/>
  <c r="D87" i="41"/>
  <c r="D88" i="41"/>
  <c r="D84" i="41"/>
  <c r="D85" i="41"/>
  <c r="D69" i="41"/>
  <c r="D70" i="41"/>
  <c r="D66" i="41"/>
  <c r="D67" i="41"/>
  <c r="D63" i="41"/>
  <c r="D64" i="41"/>
  <c r="D60" i="41"/>
  <c r="D61" i="41"/>
  <c r="D57" i="41"/>
  <c r="D58" i="41"/>
  <c r="D112" i="41"/>
  <c r="D111" i="41"/>
  <c r="E84" i="41"/>
  <c r="E85" i="41"/>
  <c r="E87" i="41"/>
  <c r="E88" i="41"/>
  <c r="E90" i="41"/>
  <c r="E91" i="41"/>
  <c r="E108" i="41"/>
  <c r="E109" i="41"/>
  <c r="E111" i="41"/>
  <c r="E112" i="41"/>
  <c r="E114" i="41"/>
  <c r="E115" i="41"/>
  <c r="E117" i="41"/>
  <c r="E118" i="41"/>
  <c r="E120" i="41"/>
  <c r="E121" i="41"/>
  <c r="D114" i="41"/>
  <c r="D115" i="41"/>
  <c r="D117" i="41"/>
  <c r="D118" i="41"/>
  <c r="D120" i="41"/>
  <c r="D121" i="41"/>
  <c r="D54" i="41"/>
  <c r="D55" i="41"/>
  <c r="D51" i="41"/>
  <c r="D52" i="41"/>
  <c r="D48" i="41"/>
  <c r="D49" i="41"/>
  <c r="D45" i="41"/>
  <c r="D46" i="41"/>
  <c r="D42" i="41"/>
  <c r="D43" i="41"/>
  <c r="D39" i="41"/>
  <c r="D40" i="41"/>
  <c r="D36" i="41"/>
  <c r="D37" i="41"/>
  <c r="D33" i="41"/>
  <c r="D34" i="41"/>
  <c r="D30" i="41"/>
  <c r="D31" i="41"/>
  <c r="D27" i="41"/>
  <c r="D28" i="41"/>
  <c r="D24" i="41"/>
  <c r="D25" i="41"/>
  <c r="D21" i="41"/>
  <c r="D22" i="41"/>
  <c r="D18" i="41"/>
  <c r="D19" i="41"/>
  <c r="Y38" i="41"/>
  <c r="X38" i="41"/>
  <c r="W14" i="41"/>
  <c r="X83" i="41"/>
  <c r="Y83" i="41"/>
  <c r="X86" i="41"/>
  <c r="Y86" i="41"/>
  <c r="X89" i="41"/>
  <c r="Y89" i="41"/>
  <c r="X92" i="41"/>
  <c r="Y92" i="41"/>
  <c r="X95" i="41"/>
  <c r="Y95" i="41"/>
  <c r="X98" i="41"/>
  <c r="Y98" i="41"/>
  <c r="X101" i="41"/>
  <c r="Y101" i="41"/>
  <c r="X104" i="41"/>
  <c r="Y104" i="41"/>
  <c r="X107" i="41"/>
  <c r="Y107" i="41"/>
  <c r="X110" i="41"/>
  <c r="Y110" i="41"/>
  <c r="X113" i="41"/>
  <c r="Y113" i="41"/>
  <c r="X116" i="41"/>
  <c r="Y116" i="41"/>
  <c r="X119" i="41"/>
  <c r="Y119" i="41"/>
  <c r="W119" i="41"/>
  <c r="W116" i="41"/>
  <c r="W113" i="41"/>
  <c r="W110" i="41"/>
  <c r="W107" i="41"/>
  <c r="W104" i="41"/>
  <c r="W101" i="41"/>
  <c r="W98" i="41"/>
  <c r="W95" i="41"/>
  <c r="W92" i="41"/>
  <c r="S121" i="41"/>
  <c r="Q121" i="41"/>
  <c r="P121" i="41"/>
  <c r="O121" i="41"/>
  <c r="N121" i="41"/>
  <c r="M121" i="41"/>
  <c r="L121" i="41"/>
  <c r="K121" i="41"/>
  <c r="J121" i="41"/>
  <c r="I121" i="41"/>
  <c r="H121" i="41"/>
  <c r="S120" i="41"/>
  <c r="R120" i="41"/>
  <c r="Q120" i="41"/>
  <c r="P120" i="41"/>
  <c r="O120" i="41"/>
  <c r="N120" i="41"/>
  <c r="M120" i="41"/>
  <c r="L120" i="41"/>
  <c r="K120" i="41"/>
  <c r="J120" i="41"/>
  <c r="I120" i="41"/>
  <c r="H120" i="41"/>
  <c r="S118" i="41"/>
  <c r="Q118" i="41"/>
  <c r="P118" i="41"/>
  <c r="O118" i="41"/>
  <c r="N118" i="41"/>
  <c r="M118" i="41"/>
  <c r="L118" i="41"/>
  <c r="K118" i="41"/>
  <c r="J118" i="41"/>
  <c r="I118" i="41"/>
  <c r="H118" i="41"/>
  <c r="S117" i="41"/>
  <c r="R117" i="41"/>
  <c r="Q117" i="41"/>
  <c r="P117" i="41"/>
  <c r="O117" i="41"/>
  <c r="N117" i="41"/>
  <c r="M117" i="41"/>
  <c r="L117" i="41"/>
  <c r="K117" i="41"/>
  <c r="J117" i="41"/>
  <c r="I117" i="41"/>
  <c r="H117" i="41"/>
  <c r="S115" i="41"/>
  <c r="Q115" i="41"/>
  <c r="P115" i="41"/>
  <c r="O115" i="41"/>
  <c r="N115" i="41"/>
  <c r="M115" i="41"/>
  <c r="L115" i="41"/>
  <c r="K115" i="41"/>
  <c r="J115" i="41"/>
  <c r="I115" i="41"/>
  <c r="H115" i="41"/>
  <c r="S114" i="41"/>
  <c r="R114" i="41"/>
  <c r="Q114" i="41"/>
  <c r="P114" i="41"/>
  <c r="O114" i="41"/>
  <c r="N114" i="41"/>
  <c r="M114" i="41"/>
  <c r="L114" i="41"/>
  <c r="K114" i="41"/>
  <c r="J114" i="41"/>
  <c r="I114" i="41"/>
  <c r="H114" i="41"/>
  <c r="S112" i="41"/>
  <c r="Q112" i="41"/>
  <c r="P112" i="41"/>
  <c r="O112" i="41"/>
  <c r="N112" i="41"/>
  <c r="M112" i="41"/>
  <c r="L112" i="41"/>
  <c r="K112" i="41"/>
  <c r="J112" i="41"/>
  <c r="I112" i="41"/>
  <c r="H112" i="41"/>
  <c r="S111" i="41"/>
  <c r="R111" i="41"/>
  <c r="Q111" i="41"/>
  <c r="P111" i="41"/>
  <c r="O111" i="41"/>
  <c r="N111" i="41"/>
  <c r="M111" i="41"/>
  <c r="L111" i="41"/>
  <c r="K111" i="41"/>
  <c r="J111" i="41"/>
  <c r="I111" i="41"/>
  <c r="H111" i="41"/>
  <c r="S109" i="41"/>
  <c r="Q109" i="41"/>
  <c r="P109" i="41"/>
  <c r="O109" i="41"/>
  <c r="N109" i="41"/>
  <c r="M109" i="41"/>
  <c r="L109" i="41"/>
  <c r="K109" i="41"/>
  <c r="J109" i="41"/>
  <c r="I109" i="41"/>
  <c r="H109" i="41"/>
  <c r="S108" i="41"/>
  <c r="R108" i="41"/>
  <c r="Q108" i="41"/>
  <c r="P108" i="41"/>
  <c r="O108" i="41"/>
  <c r="N108" i="41"/>
  <c r="M108" i="41"/>
  <c r="L108" i="41"/>
  <c r="K108" i="41"/>
  <c r="J108" i="41"/>
  <c r="I108" i="41"/>
  <c r="H108" i="41"/>
  <c r="S106" i="41"/>
  <c r="Q106" i="41"/>
  <c r="P106" i="41"/>
  <c r="O106" i="41"/>
  <c r="N106" i="41"/>
  <c r="M106" i="41"/>
  <c r="L106" i="41"/>
  <c r="K106" i="41"/>
  <c r="J106" i="41"/>
  <c r="I106" i="41"/>
  <c r="H106" i="41"/>
  <c r="S105" i="41"/>
  <c r="R105" i="41"/>
  <c r="Q105" i="41"/>
  <c r="P105" i="41"/>
  <c r="O105" i="41"/>
  <c r="N105" i="41"/>
  <c r="M105" i="41"/>
  <c r="L105" i="41"/>
  <c r="K105" i="41"/>
  <c r="J105" i="41"/>
  <c r="I105" i="41"/>
  <c r="H105" i="41"/>
  <c r="S103" i="41"/>
  <c r="Q103" i="41"/>
  <c r="P103" i="41"/>
  <c r="O103" i="41"/>
  <c r="N103" i="41"/>
  <c r="M103" i="41"/>
  <c r="L103" i="41"/>
  <c r="K103" i="41"/>
  <c r="J103" i="41"/>
  <c r="I103" i="41"/>
  <c r="H103" i="41"/>
  <c r="S102" i="41"/>
  <c r="R102" i="41"/>
  <c r="Q102" i="41"/>
  <c r="P102" i="41"/>
  <c r="O102" i="41"/>
  <c r="N102" i="41"/>
  <c r="M102" i="41"/>
  <c r="L102" i="41"/>
  <c r="K102" i="41"/>
  <c r="J102" i="41"/>
  <c r="I102" i="41"/>
  <c r="H102" i="41"/>
  <c r="S100" i="41"/>
  <c r="Q100" i="41"/>
  <c r="P100" i="41"/>
  <c r="O100" i="41"/>
  <c r="N100" i="41"/>
  <c r="M100" i="41"/>
  <c r="L100" i="41"/>
  <c r="K100" i="41"/>
  <c r="J100" i="41"/>
  <c r="I100" i="41"/>
  <c r="H100" i="41"/>
  <c r="S99" i="41"/>
  <c r="R99" i="41"/>
  <c r="Q99" i="41"/>
  <c r="P99" i="41"/>
  <c r="O99" i="41"/>
  <c r="N99" i="41"/>
  <c r="M99" i="41"/>
  <c r="L99" i="41"/>
  <c r="K99" i="41"/>
  <c r="J99" i="41"/>
  <c r="I99" i="41"/>
  <c r="H99" i="41"/>
  <c r="S97" i="41"/>
  <c r="Q97" i="41"/>
  <c r="P97" i="41"/>
  <c r="O97" i="41"/>
  <c r="N97" i="41"/>
  <c r="M97" i="41"/>
  <c r="L97" i="41"/>
  <c r="K97" i="41"/>
  <c r="J97" i="41"/>
  <c r="I97" i="41"/>
  <c r="H97" i="41"/>
  <c r="S96" i="41"/>
  <c r="R96" i="41"/>
  <c r="Q96" i="41"/>
  <c r="P96" i="41"/>
  <c r="O96" i="41"/>
  <c r="N96" i="41"/>
  <c r="M96" i="41"/>
  <c r="L96" i="41"/>
  <c r="K96" i="41"/>
  <c r="J96" i="41"/>
  <c r="I96" i="41"/>
  <c r="H96" i="41"/>
  <c r="S94" i="41"/>
  <c r="Q94" i="41"/>
  <c r="P94" i="41"/>
  <c r="O94" i="41"/>
  <c r="N94" i="41"/>
  <c r="M94" i="41"/>
  <c r="L94" i="41"/>
  <c r="K94" i="41"/>
  <c r="J94" i="41"/>
  <c r="I94" i="41"/>
  <c r="H94" i="41"/>
  <c r="S93" i="41"/>
  <c r="R93" i="41"/>
  <c r="Q93" i="41"/>
  <c r="P93" i="41"/>
  <c r="O93" i="41"/>
  <c r="N93" i="41"/>
  <c r="M93" i="41"/>
  <c r="L93" i="41"/>
  <c r="K93" i="41"/>
  <c r="J93" i="41"/>
  <c r="I93" i="41"/>
  <c r="H93" i="41"/>
  <c r="S91" i="41"/>
  <c r="Q91" i="41"/>
  <c r="P91" i="41"/>
  <c r="O91" i="41"/>
  <c r="N91" i="41"/>
  <c r="M91" i="41"/>
  <c r="L91" i="41"/>
  <c r="K91" i="41"/>
  <c r="J91" i="41"/>
  <c r="I91" i="41"/>
  <c r="H91" i="41"/>
  <c r="S90" i="41"/>
  <c r="R90" i="41"/>
  <c r="Q90" i="41"/>
  <c r="P90" i="41"/>
  <c r="O90" i="41"/>
  <c r="N90" i="41"/>
  <c r="M90" i="41"/>
  <c r="L90" i="41"/>
  <c r="K90" i="41"/>
  <c r="J90" i="41"/>
  <c r="I90" i="41"/>
  <c r="H90" i="41"/>
  <c r="G121" i="41"/>
  <c r="G120" i="41"/>
  <c r="S119" i="41"/>
  <c r="R119" i="41"/>
  <c r="Q119" i="41"/>
  <c r="P119" i="41"/>
  <c r="O119" i="41"/>
  <c r="N119" i="41"/>
  <c r="M119" i="41"/>
  <c r="L119" i="41"/>
  <c r="K119" i="41"/>
  <c r="J119" i="41"/>
  <c r="I119" i="41"/>
  <c r="H119" i="41"/>
  <c r="G119" i="41"/>
  <c r="G118" i="41"/>
  <c r="G117" i="41"/>
  <c r="S116" i="41"/>
  <c r="R116" i="41"/>
  <c r="Q116" i="41"/>
  <c r="P116" i="41"/>
  <c r="O116" i="41"/>
  <c r="N116" i="41"/>
  <c r="M116" i="41"/>
  <c r="L116" i="41"/>
  <c r="K116" i="41"/>
  <c r="J116" i="41"/>
  <c r="I116" i="41"/>
  <c r="H116" i="41"/>
  <c r="G116" i="41"/>
  <c r="G115" i="41"/>
  <c r="G114" i="41"/>
  <c r="S113" i="41"/>
  <c r="R113" i="41"/>
  <c r="Q113" i="41"/>
  <c r="P113" i="41"/>
  <c r="O113" i="41"/>
  <c r="N113" i="41"/>
  <c r="M113" i="41"/>
  <c r="L113" i="41"/>
  <c r="K113" i="41"/>
  <c r="J113" i="41"/>
  <c r="I113" i="41"/>
  <c r="H113" i="41"/>
  <c r="G113" i="41"/>
  <c r="G112" i="41"/>
  <c r="G111" i="41"/>
  <c r="S110" i="41"/>
  <c r="R110" i="41"/>
  <c r="Q110" i="41"/>
  <c r="P110" i="41"/>
  <c r="O110" i="41"/>
  <c r="N110" i="41"/>
  <c r="M110" i="41"/>
  <c r="L110" i="41"/>
  <c r="K110" i="41"/>
  <c r="J110" i="41"/>
  <c r="I110" i="41"/>
  <c r="H110" i="41"/>
  <c r="G110" i="41"/>
  <c r="G109" i="41"/>
  <c r="G108" i="41"/>
  <c r="S107" i="41"/>
  <c r="R107" i="41"/>
  <c r="Q107" i="41"/>
  <c r="P107" i="41"/>
  <c r="O107" i="41"/>
  <c r="N107" i="41"/>
  <c r="M107" i="41"/>
  <c r="L107" i="41"/>
  <c r="K107" i="41"/>
  <c r="J107" i="41"/>
  <c r="I107" i="41"/>
  <c r="H107" i="41"/>
  <c r="G107" i="41"/>
  <c r="G106" i="41"/>
  <c r="G105" i="41"/>
  <c r="S104" i="41"/>
  <c r="R104" i="41"/>
  <c r="Q104" i="41"/>
  <c r="P104" i="41"/>
  <c r="O104" i="41"/>
  <c r="N104" i="41"/>
  <c r="M104" i="41"/>
  <c r="L104" i="41"/>
  <c r="K104" i="41"/>
  <c r="J104" i="41"/>
  <c r="I104" i="41"/>
  <c r="H104" i="41"/>
  <c r="G104" i="41"/>
  <c r="G103" i="41"/>
  <c r="G102" i="41"/>
  <c r="S101" i="41"/>
  <c r="R101" i="41"/>
  <c r="Q101" i="41"/>
  <c r="P101" i="41"/>
  <c r="O101" i="41"/>
  <c r="N101" i="41"/>
  <c r="M101" i="41"/>
  <c r="L101" i="41"/>
  <c r="K101" i="41"/>
  <c r="J101" i="41"/>
  <c r="I101" i="41"/>
  <c r="H101" i="41"/>
  <c r="G101" i="41"/>
  <c r="G100" i="41"/>
  <c r="G99" i="41"/>
  <c r="S98" i="41"/>
  <c r="R98" i="41"/>
  <c r="Q98" i="41"/>
  <c r="P98" i="41"/>
  <c r="O98" i="41"/>
  <c r="N98" i="41"/>
  <c r="M98" i="41"/>
  <c r="L98" i="41"/>
  <c r="K98" i="41"/>
  <c r="J98" i="41"/>
  <c r="I98" i="41"/>
  <c r="H98" i="41"/>
  <c r="G98" i="41"/>
  <c r="G97" i="41"/>
  <c r="G96" i="41"/>
  <c r="S95" i="41"/>
  <c r="R95" i="41"/>
  <c r="Q95" i="41"/>
  <c r="P95" i="41"/>
  <c r="O95" i="41"/>
  <c r="N95" i="41"/>
  <c r="M95" i="41"/>
  <c r="L95" i="41"/>
  <c r="K95" i="41"/>
  <c r="J95" i="41"/>
  <c r="I95" i="41"/>
  <c r="H95" i="41"/>
  <c r="G95" i="41"/>
  <c r="G94" i="41"/>
  <c r="G93" i="41"/>
  <c r="S92" i="41"/>
  <c r="R92" i="41"/>
  <c r="Q92" i="41"/>
  <c r="P92" i="41"/>
  <c r="O92" i="41"/>
  <c r="N92" i="41"/>
  <c r="M92" i="41"/>
  <c r="L92" i="41"/>
  <c r="K92" i="41"/>
  <c r="J92" i="41"/>
  <c r="I92" i="41"/>
  <c r="H92" i="41"/>
  <c r="G92" i="41"/>
  <c r="R97" i="41"/>
  <c r="R100" i="41"/>
  <c r="R103" i="41"/>
  <c r="R106" i="41"/>
  <c r="R109" i="41"/>
  <c r="R112" i="41"/>
  <c r="R115" i="41"/>
  <c r="R118" i="41"/>
  <c r="R121" i="41"/>
  <c r="R94" i="41"/>
  <c r="W86" i="41"/>
  <c r="X80" i="41"/>
  <c r="Y80" i="41"/>
  <c r="X77" i="41"/>
  <c r="Y77" i="41"/>
  <c r="X68" i="41"/>
  <c r="Y68" i="41"/>
  <c r="X71" i="41"/>
  <c r="Y71" i="41"/>
  <c r="X74" i="41"/>
  <c r="Y74" i="41"/>
  <c r="X65" i="41"/>
  <c r="Y65" i="41"/>
  <c r="X62" i="41"/>
  <c r="Y62" i="41"/>
  <c r="X59" i="41"/>
  <c r="Y59" i="41"/>
  <c r="X56" i="41"/>
  <c r="Y56" i="41"/>
  <c r="X53" i="41"/>
  <c r="Y53" i="41"/>
  <c r="X50" i="41"/>
  <c r="Y50" i="41"/>
  <c r="X47" i="41"/>
  <c r="Y47" i="41"/>
  <c r="X44" i="41"/>
  <c r="Y44" i="41"/>
  <c r="X41" i="41"/>
  <c r="Y41" i="41"/>
  <c r="X35" i="41"/>
  <c r="Y35" i="41"/>
  <c r="X32" i="41"/>
  <c r="Y32" i="41"/>
  <c r="X29" i="41"/>
  <c r="Y29" i="41"/>
  <c r="X26" i="41"/>
  <c r="Y26" i="41"/>
  <c r="X23" i="41"/>
  <c r="Y23" i="41"/>
  <c r="X20" i="41"/>
  <c r="Y20" i="41"/>
  <c r="X17" i="41"/>
  <c r="Y17" i="41"/>
  <c r="W89" i="41"/>
  <c r="W83" i="41"/>
  <c r="W80" i="41"/>
  <c r="W77" i="41"/>
  <c r="W74" i="41"/>
  <c r="W71" i="41"/>
  <c r="W68" i="41"/>
  <c r="W65" i="41"/>
  <c r="W62" i="41"/>
  <c r="W59" i="41"/>
  <c r="W56" i="41"/>
  <c r="W53" i="41"/>
  <c r="W50" i="41"/>
  <c r="W47" i="41"/>
  <c r="W44" i="41"/>
  <c r="W41" i="41"/>
  <c r="W38" i="41"/>
  <c r="W35" i="41"/>
  <c r="W32" i="41"/>
  <c r="W29" i="41"/>
  <c r="W26" i="41"/>
  <c r="W23" i="41"/>
  <c r="W20" i="41"/>
  <c r="W17" i="41"/>
  <c r="X14" i="41"/>
  <c r="Y14" i="41"/>
  <c r="D9" i="18"/>
  <c r="D6" i="22"/>
  <c r="D6" i="21"/>
  <c r="D6" i="20"/>
  <c r="D6" i="16"/>
  <c r="D6" i="11"/>
  <c r="D6" i="12"/>
  <c r="D6" i="10"/>
  <c r="D6" i="9"/>
  <c r="E4" i="37"/>
  <c r="E57" i="37"/>
  <c r="S65" i="41"/>
  <c r="R65" i="41"/>
  <c r="Q65" i="41"/>
  <c r="P65" i="41"/>
  <c r="O65" i="41"/>
  <c r="N65" i="41"/>
  <c r="M65" i="41"/>
  <c r="L65" i="41"/>
  <c r="K65" i="41"/>
  <c r="J65" i="41"/>
  <c r="I65" i="41"/>
  <c r="H65" i="41"/>
  <c r="E51" i="41"/>
  <c r="E52" i="41"/>
  <c r="E54" i="41"/>
  <c r="E55" i="41"/>
  <c r="E57" i="41"/>
  <c r="E58" i="41"/>
  <c r="E60" i="41"/>
  <c r="E61" i="41"/>
  <c r="E63" i="41"/>
  <c r="E64" i="41"/>
  <c r="E66" i="41"/>
  <c r="E67" i="41"/>
  <c r="E69" i="41"/>
  <c r="E70" i="41"/>
  <c r="E24" i="41"/>
  <c r="E25" i="41"/>
  <c r="E27" i="41"/>
  <c r="E28" i="41"/>
  <c r="E30" i="41"/>
  <c r="E31" i="41"/>
  <c r="E33" i="41"/>
  <c r="E34" i="41"/>
  <c r="E36" i="41"/>
  <c r="E37" i="41"/>
  <c r="E39" i="41"/>
  <c r="E40" i="41"/>
  <c r="E42" i="41"/>
  <c r="E43" i="41"/>
  <c r="E45" i="41"/>
  <c r="E46" i="41"/>
  <c r="E48" i="41"/>
  <c r="E49" i="41"/>
  <c r="E22" i="41"/>
  <c r="E21" i="41"/>
  <c r="E19" i="41"/>
  <c r="E18" i="41"/>
  <c r="T15" i="41"/>
  <c r="T16" i="41"/>
  <c r="G91" i="41"/>
  <c r="G90" i="41"/>
  <c r="S89" i="41"/>
  <c r="R89" i="41"/>
  <c r="Q89" i="41"/>
  <c r="P89" i="41"/>
  <c r="O89" i="41"/>
  <c r="N89" i="41"/>
  <c r="M89" i="41"/>
  <c r="L89" i="41"/>
  <c r="K89" i="41"/>
  <c r="J89" i="41"/>
  <c r="I89" i="41"/>
  <c r="H89" i="41"/>
  <c r="G89" i="41"/>
  <c r="S88" i="41"/>
  <c r="Q88" i="41"/>
  <c r="P88" i="41"/>
  <c r="O88" i="41"/>
  <c r="N88" i="41"/>
  <c r="M88" i="41"/>
  <c r="L88" i="41"/>
  <c r="K88" i="41"/>
  <c r="J88" i="41"/>
  <c r="I88" i="41"/>
  <c r="H88" i="41"/>
  <c r="G88" i="41"/>
  <c r="S87" i="41"/>
  <c r="R87" i="41"/>
  <c r="Q87" i="41"/>
  <c r="P87" i="41"/>
  <c r="O87" i="41"/>
  <c r="N87" i="41"/>
  <c r="M87" i="41"/>
  <c r="L87" i="41"/>
  <c r="K87" i="41"/>
  <c r="J87" i="41"/>
  <c r="I87" i="41"/>
  <c r="H87" i="41"/>
  <c r="G87" i="41"/>
  <c r="S86" i="41"/>
  <c r="R86" i="41"/>
  <c r="Q86" i="41"/>
  <c r="P86" i="41"/>
  <c r="O86" i="41"/>
  <c r="N86" i="41"/>
  <c r="M86" i="41"/>
  <c r="L86" i="41"/>
  <c r="K86" i="41"/>
  <c r="J86" i="41"/>
  <c r="I86" i="41"/>
  <c r="H86" i="41"/>
  <c r="G86" i="41"/>
  <c r="S85" i="41"/>
  <c r="Q85" i="41"/>
  <c r="P85" i="41"/>
  <c r="O85" i="41"/>
  <c r="N85" i="41"/>
  <c r="M85" i="41"/>
  <c r="L85" i="41"/>
  <c r="K85" i="41"/>
  <c r="J85" i="41"/>
  <c r="I85" i="41"/>
  <c r="H85" i="41"/>
  <c r="G85" i="41"/>
  <c r="S84" i="41"/>
  <c r="R84" i="41"/>
  <c r="Q84" i="41"/>
  <c r="P84" i="41"/>
  <c r="O84" i="41"/>
  <c r="N84" i="41"/>
  <c r="M84" i="41"/>
  <c r="L84" i="41"/>
  <c r="K84" i="41"/>
  <c r="J84" i="41"/>
  <c r="I84" i="41"/>
  <c r="H84" i="41"/>
  <c r="G84" i="41"/>
  <c r="S83" i="41"/>
  <c r="R83" i="41"/>
  <c r="Q83" i="41"/>
  <c r="P83" i="41"/>
  <c r="O83" i="41"/>
  <c r="N83" i="41"/>
  <c r="M83" i="41"/>
  <c r="L83" i="41"/>
  <c r="K83" i="41"/>
  <c r="J83" i="41"/>
  <c r="I83" i="41"/>
  <c r="H83" i="41"/>
  <c r="G83" i="41"/>
  <c r="S82" i="41"/>
  <c r="Q82" i="41"/>
  <c r="P82" i="41"/>
  <c r="O82" i="41"/>
  <c r="N82" i="41"/>
  <c r="M82" i="41"/>
  <c r="L82" i="41"/>
  <c r="K82" i="41"/>
  <c r="J82" i="41"/>
  <c r="I82" i="41"/>
  <c r="H82" i="41"/>
  <c r="G82" i="41"/>
  <c r="S81" i="41"/>
  <c r="R81" i="41"/>
  <c r="Q81" i="41"/>
  <c r="P81" i="41"/>
  <c r="O81" i="41"/>
  <c r="N81" i="41"/>
  <c r="M81" i="41"/>
  <c r="L81" i="41"/>
  <c r="K81" i="41"/>
  <c r="J81" i="41"/>
  <c r="I81" i="41"/>
  <c r="H81" i="41"/>
  <c r="G81" i="41"/>
  <c r="S80" i="41"/>
  <c r="R80" i="41"/>
  <c r="Q80" i="41"/>
  <c r="P80" i="41"/>
  <c r="O80" i="41"/>
  <c r="N80" i="41"/>
  <c r="M80" i="41"/>
  <c r="L80" i="41"/>
  <c r="K80" i="41"/>
  <c r="J80" i="41"/>
  <c r="I80" i="41"/>
  <c r="H80" i="41"/>
  <c r="G80" i="41"/>
  <c r="S77" i="41"/>
  <c r="R77" i="41"/>
  <c r="Q77" i="41"/>
  <c r="P77" i="41"/>
  <c r="O77" i="41"/>
  <c r="N77" i="41"/>
  <c r="M77" i="41"/>
  <c r="L77" i="41"/>
  <c r="K77" i="41"/>
  <c r="J77" i="41"/>
  <c r="I77" i="41"/>
  <c r="H77" i="41"/>
  <c r="G77" i="41"/>
  <c r="S78" i="41"/>
  <c r="R78" i="41"/>
  <c r="Q78" i="41"/>
  <c r="P78" i="41"/>
  <c r="O78" i="41"/>
  <c r="N78" i="41"/>
  <c r="M78" i="41"/>
  <c r="L78" i="41"/>
  <c r="K78" i="41"/>
  <c r="J78" i="41"/>
  <c r="I78" i="41"/>
  <c r="H78" i="41"/>
  <c r="G78" i="41"/>
  <c r="S79" i="41"/>
  <c r="Q79" i="41"/>
  <c r="P79" i="41"/>
  <c r="O79" i="41"/>
  <c r="N79" i="41"/>
  <c r="M79" i="41"/>
  <c r="L79" i="41"/>
  <c r="K79" i="41"/>
  <c r="J79" i="41"/>
  <c r="I79" i="41"/>
  <c r="H79" i="41"/>
  <c r="G79" i="41"/>
  <c r="S76" i="41"/>
  <c r="Q76" i="41"/>
  <c r="P76" i="41"/>
  <c r="O76" i="41"/>
  <c r="N76" i="41"/>
  <c r="M76" i="41"/>
  <c r="L76" i="41"/>
  <c r="K76" i="41"/>
  <c r="J76" i="41"/>
  <c r="I76" i="41"/>
  <c r="H76" i="41"/>
  <c r="G76" i="41"/>
  <c r="S75" i="41"/>
  <c r="R75" i="41"/>
  <c r="Q75" i="41"/>
  <c r="P75" i="41"/>
  <c r="O75" i="41"/>
  <c r="N75" i="41"/>
  <c r="M75" i="41"/>
  <c r="L75" i="41"/>
  <c r="K75" i="41"/>
  <c r="J75" i="41"/>
  <c r="I75" i="41"/>
  <c r="H75" i="41"/>
  <c r="G75" i="41"/>
  <c r="S74" i="41"/>
  <c r="R74" i="41"/>
  <c r="Q74" i="41"/>
  <c r="P74" i="41"/>
  <c r="O74" i="41"/>
  <c r="N74" i="41"/>
  <c r="M74" i="41"/>
  <c r="L74" i="41"/>
  <c r="K74" i="41"/>
  <c r="J74" i="41"/>
  <c r="I74" i="41"/>
  <c r="H74" i="41"/>
  <c r="G74" i="41"/>
  <c r="S73" i="41"/>
  <c r="Q73" i="41"/>
  <c r="P73" i="41"/>
  <c r="O73" i="41"/>
  <c r="N73" i="41"/>
  <c r="M73" i="41"/>
  <c r="L73" i="41"/>
  <c r="K73" i="41"/>
  <c r="J73" i="41"/>
  <c r="I73" i="41"/>
  <c r="H73" i="41"/>
  <c r="G73" i="41"/>
  <c r="S72" i="41"/>
  <c r="R72" i="41"/>
  <c r="Q72" i="41"/>
  <c r="P72" i="41"/>
  <c r="O72" i="41"/>
  <c r="N72" i="41"/>
  <c r="M72" i="41"/>
  <c r="L72" i="41"/>
  <c r="K72" i="41"/>
  <c r="J72" i="41"/>
  <c r="I72" i="41"/>
  <c r="H72" i="41"/>
  <c r="G72" i="41"/>
  <c r="S71" i="41"/>
  <c r="R71" i="41"/>
  <c r="Q71" i="41"/>
  <c r="P71" i="41"/>
  <c r="O71" i="41"/>
  <c r="N71" i="41"/>
  <c r="M71" i="41"/>
  <c r="L71" i="41"/>
  <c r="K71" i="41"/>
  <c r="J71" i="41"/>
  <c r="I71" i="41"/>
  <c r="H71" i="41"/>
  <c r="G71" i="41"/>
  <c r="S70" i="41"/>
  <c r="Q70" i="41"/>
  <c r="P70" i="41"/>
  <c r="O70" i="41"/>
  <c r="N70" i="41"/>
  <c r="M70" i="41"/>
  <c r="L70" i="41"/>
  <c r="K70" i="41"/>
  <c r="J70" i="41"/>
  <c r="I70" i="41"/>
  <c r="H70" i="41"/>
  <c r="G70" i="41"/>
  <c r="S69" i="41"/>
  <c r="R69" i="41"/>
  <c r="Q69" i="41"/>
  <c r="P69" i="41"/>
  <c r="O69" i="41"/>
  <c r="N69" i="41"/>
  <c r="M69" i="41"/>
  <c r="L69" i="41"/>
  <c r="K69" i="41"/>
  <c r="J69" i="41"/>
  <c r="I69" i="41"/>
  <c r="H69" i="41"/>
  <c r="G69" i="41"/>
  <c r="S68" i="41"/>
  <c r="R68" i="41"/>
  <c r="Q68" i="41"/>
  <c r="P68" i="41"/>
  <c r="O68" i="41"/>
  <c r="N68" i="41"/>
  <c r="M68" i="41"/>
  <c r="L68" i="41"/>
  <c r="K68" i="41"/>
  <c r="J68" i="41"/>
  <c r="I68" i="41"/>
  <c r="H68" i="41"/>
  <c r="G68" i="41"/>
  <c r="S67" i="41"/>
  <c r="Q67" i="41"/>
  <c r="P67" i="41"/>
  <c r="O67" i="41"/>
  <c r="N67" i="41"/>
  <c r="M67" i="41"/>
  <c r="L67" i="41"/>
  <c r="K67" i="41"/>
  <c r="J67" i="41"/>
  <c r="I67" i="41"/>
  <c r="H67" i="41"/>
  <c r="G67" i="41"/>
  <c r="S66" i="41"/>
  <c r="R66" i="41"/>
  <c r="Q66" i="41"/>
  <c r="P66" i="41"/>
  <c r="O66" i="41"/>
  <c r="N66" i="41"/>
  <c r="M66" i="41"/>
  <c r="L66" i="41"/>
  <c r="K66" i="41"/>
  <c r="J66" i="41"/>
  <c r="I66" i="41"/>
  <c r="H66" i="41"/>
  <c r="G66" i="41"/>
  <c r="G65" i="41"/>
  <c r="S64" i="41"/>
  <c r="Q64" i="41"/>
  <c r="P64" i="41"/>
  <c r="O64" i="41"/>
  <c r="N64" i="41"/>
  <c r="M64" i="41"/>
  <c r="L64" i="41"/>
  <c r="K64" i="41"/>
  <c r="J64" i="41"/>
  <c r="I64" i="41"/>
  <c r="H64" i="41"/>
  <c r="G64" i="41"/>
  <c r="S63" i="41"/>
  <c r="R63" i="41"/>
  <c r="Q63" i="41"/>
  <c r="P63" i="41"/>
  <c r="O63" i="41"/>
  <c r="N63" i="41"/>
  <c r="M63" i="41"/>
  <c r="L63" i="41"/>
  <c r="K63" i="41"/>
  <c r="J63" i="41"/>
  <c r="I63" i="41"/>
  <c r="H63" i="41"/>
  <c r="G63" i="41"/>
  <c r="S62" i="41"/>
  <c r="R62" i="41"/>
  <c r="Q62" i="41"/>
  <c r="P62" i="41"/>
  <c r="O62" i="41"/>
  <c r="N62" i="41"/>
  <c r="M62" i="41"/>
  <c r="L62" i="41"/>
  <c r="K62" i="41"/>
  <c r="J62" i="41"/>
  <c r="I62" i="41"/>
  <c r="H62" i="41"/>
  <c r="G62" i="41"/>
  <c r="S61" i="41"/>
  <c r="Q61" i="41"/>
  <c r="P61" i="41"/>
  <c r="O61" i="41"/>
  <c r="N61" i="41"/>
  <c r="M61" i="41"/>
  <c r="L61" i="41"/>
  <c r="K61" i="41"/>
  <c r="J61" i="41"/>
  <c r="I61" i="41"/>
  <c r="H61" i="41"/>
  <c r="G61" i="41"/>
  <c r="S60" i="41"/>
  <c r="R60" i="41"/>
  <c r="Q60" i="41"/>
  <c r="P60" i="41"/>
  <c r="O60" i="41"/>
  <c r="N60" i="41"/>
  <c r="M60" i="41"/>
  <c r="L60" i="41"/>
  <c r="K60" i="41"/>
  <c r="J60" i="41"/>
  <c r="I60" i="41"/>
  <c r="H60" i="41"/>
  <c r="G60" i="41"/>
  <c r="S59" i="41"/>
  <c r="R59" i="41"/>
  <c r="Q59" i="41"/>
  <c r="P59" i="41"/>
  <c r="O59" i="41"/>
  <c r="N59" i="41"/>
  <c r="M59" i="41"/>
  <c r="L59" i="41"/>
  <c r="K59" i="41"/>
  <c r="J59" i="41"/>
  <c r="I59" i="41"/>
  <c r="H59" i="41"/>
  <c r="G59" i="41"/>
  <c r="S58" i="41"/>
  <c r="Q58" i="41"/>
  <c r="P58" i="41"/>
  <c r="O58" i="41"/>
  <c r="N58" i="41"/>
  <c r="M58" i="41"/>
  <c r="L58" i="41"/>
  <c r="K58" i="41"/>
  <c r="J58" i="41"/>
  <c r="I58" i="41"/>
  <c r="H58" i="41"/>
  <c r="G58" i="41"/>
  <c r="S57" i="41"/>
  <c r="R57" i="41"/>
  <c r="Q57" i="41"/>
  <c r="P57" i="41"/>
  <c r="O57" i="41"/>
  <c r="N57" i="41"/>
  <c r="M57" i="41"/>
  <c r="L57" i="41"/>
  <c r="K57" i="41"/>
  <c r="J57" i="41"/>
  <c r="I57" i="41"/>
  <c r="H57" i="41"/>
  <c r="G57" i="41"/>
  <c r="S56" i="41"/>
  <c r="R56" i="41"/>
  <c r="Q56" i="41"/>
  <c r="P56" i="41"/>
  <c r="O56" i="41"/>
  <c r="N56" i="41"/>
  <c r="M56" i="41"/>
  <c r="L56" i="41"/>
  <c r="K56" i="41"/>
  <c r="J56" i="41"/>
  <c r="I56" i="41"/>
  <c r="H56" i="41"/>
  <c r="G56" i="41"/>
  <c r="S55" i="41"/>
  <c r="Q55" i="41"/>
  <c r="P55" i="41"/>
  <c r="O55" i="41"/>
  <c r="N55" i="41"/>
  <c r="M55" i="41"/>
  <c r="L55" i="41"/>
  <c r="K55" i="41"/>
  <c r="J55" i="41"/>
  <c r="I55" i="41"/>
  <c r="H55" i="41"/>
  <c r="G55" i="41"/>
  <c r="S54" i="41"/>
  <c r="R54" i="41"/>
  <c r="Q54" i="41"/>
  <c r="P54" i="41"/>
  <c r="O54" i="41"/>
  <c r="N54" i="41"/>
  <c r="M54" i="41"/>
  <c r="L54" i="41"/>
  <c r="K54" i="41"/>
  <c r="J54" i="41"/>
  <c r="I54" i="41"/>
  <c r="H54" i="41"/>
  <c r="G54" i="41"/>
  <c r="S53" i="41"/>
  <c r="R53" i="41"/>
  <c r="Q53" i="41"/>
  <c r="P53" i="41"/>
  <c r="O53" i="41"/>
  <c r="N53" i="41"/>
  <c r="M53" i="41"/>
  <c r="L53" i="41"/>
  <c r="K53" i="41"/>
  <c r="J53" i="41"/>
  <c r="I53" i="41"/>
  <c r="H53" i="41"/>
  <c r="G53" i="41"/>
  <c r="S52" i="41"/>
  <c r="Q52" i="41"/>
  <c r="P52" i="41"/>
  <c r="O52" i="41"/>
  <c r="N52" i="41"/>
  <c r="M52" i="41"/>
  <c r="L52" i="41"/>
  <c r="K52" i="41"/>
  <c r="J52" i="41"/>
  <c r="I52" i="41"/>
  <c r="H52" i="41"/>
  <c r="G52" i="41"/>
  <c r="S51" i="41"/>
  <c r="R51" i="41"/>
  <c r="Q51" i="41"/>
  <c r="P51" i="41"/>
  <c r="O51" i="41"/>
  <c r="N51" i="41"/>
  <c r="M51" i="41"/>
  <c r="L51" i="41"/>
  <c r="K51" i="41"/>
  <c r="J51" i="41"/>
  <c r="I51" i="41"/>
  <c r="H51" i="41"/>
  <c r="G51" i="41"/>
  <c r="S50" i="41"/>
  <c r="R50" i="41"/>
  <c r="Q50" i="41"/>
  <c r="P50" i="41"/>
  <c r="O50" i="41"/>
  <c r="N50" i="41"/>
  <c r="M50" i="41"/>
  <c r="L50" i="41"/>
  <c r="K50" i="41"/>
  <c r="J50" i="41"/>
  <c r="I50" i="41"/>
  <c r="H50" i="41"/>
  <c r="G50" i="41"/>
  <c r="S49" i="41"/>
  <c r="Q49" i="41"/>
  <c r="P49" i="41"/>
  <c r="O49" i="41"/>
  <c r="N49" i="41"/>
  <c r="M49" i="41"/>
  <c r="L49" i="41"/>
  <c r="K49" i="41"/>
  <c r="J49" i="41"/>
  <c r="I49" i="41"/>
  <c r="H49" i="41"/>
  <c r="G49" i="41"/>
  <c r="S48" i="41"/>
  <c r="R48" i="41"/>
  <c r="Q48" i="41"/>
  <c r="P48" i="41"/>
  <c r="O48" i="41"/>
  <c r="N48" i="41"/>
  <c r="M48" i="41"/>
  <c r="L48" i="41"/>
  <c r="K48" i="41"/>
  <c r="J48" i="41"/>
  <c r="I48" i="41"/>
  <c r="H48" i="41"/>
  <c r="G48" i="41"/>
  <c r="S47" i="41"/>
  <c r="R47" i="41"/>
  <c r="Q47" i="41"/>
  <c r="P47" i="41"/>
  <c r="O47" i="41"/>
  <c r="N47" i="41"/>
  <c r="M47" i="41"/>
  <c r="L47" i="41"/>
  <c r="K47" i="41"/>
  <c r="J47" i="41"/>
  <c r="I47" i="41"/>
  <c r="H47" i="41"/>
  <c r="G47" i="41"/>
  <c r="S46" i="41"/>
  <c r="Q46" i="41"/>
  <c r="P46" i="41"/>
  <c r="O46" i="41"/>
  <c r="N46" i="41"/>
  <c r="M46" i="41"/>
  <c r="L46" i="41"/>
  <c r="K46" i="41"/>
  <c r="J46" i="41"/>
  <c r="I46" i="41"/>
  <c r="H46" i="41"/>
  <c r="G46" i="41"/>
  <c r="S45" i="41"/>
  <c r="R45" i="41"/>
  <c r="Q45" i="41"/>
  <c r="P45" i="41"/>
  <c r="O45" i="41"/>
  <c r="N45" i="41"/>
  <c r="M45" i="41"/>
  <c r="L45" i="41"/>
  <c r="K45" i="41"/>
  <c r="J45" i="41"/>
  <c r="I45" i="41"/>
  <c r="H45" i="41"/>
  <c r="G45" i="41"/>
  <c r="S44" i="41"/>
  <c r="R44" i="41"/>
  <c r="Q44" i="41"/>
  <c r="P44" i="41"/>
  <c r="O44" i="41"/>
  <c r="N44" i="41"/>
  <c r="M44" i="41"/>
  <c r="L44" i="41"/>
  <c r="K44" i="41"/>
  <c r="J44" i="41"/>
  <c r="I44" i="41"/>
  <c r="H44" i="41"/>
  <c r="G44" i="41"/>
  <c r="S43" i="41"/>
  <c r="Q43" i="41"/>
  <c r="P43" i="41"/>
  <c r="O43" i="41"/>
  <c r="N43" i="41"/>
  <c r="M43" i="41"/>
  <c r="L43" i="41"/>
  <c r="K43" i="41"/>
  <c r="J43" i="41"/>
  <c r="I43" i="41"/>
  <c r="H43" i="41"/>
  <c r="G43" i="41"/>
  <c r="S42" i="41"/>
  <c r="R42" i="41"/>
  <c r="Q42" i="41"/>
  <c r="P42" i="41"/>
  <c r="O42" i="41"/>
  <c r="N42" i="41"/>
  <c r="M42" i="41"/>
  <c r="L42" i="41"/>
  <c r="K42" i="41"/>
  <c r="J42" i="41"/>
  <c r="I42" i="41"/>
  <c r="H42" i="41"/>
  <c r="G42" i="41"/>
  <c r="S41" i="41"/>
  <c r="R41" i="41"/>
  <c r="Q41" i="41"/>
  <c r="P41" i="41"/>
  <c r="O41" i="41"/>
  <c r="N41" i="41"/>
  <c r="M41" i="41"/>
  <c r="L41" i="41"/>
  <c r="K41" i="41"/>
  <c r="J41" i="41"/>
  <c r="I41" i="41"/>
  <c r="H41" i="41"/>
  <c r="G41" i="41"/>
  <c r="S39" i="41"/>
  <c r="R39" i="41"/>
  <c r="Q39" i="41"/>
  <c r="P39" i="41"/>
  <c r="O39" i="41"/>
  <c r="N39" i="41"/>
  <c r="M39" i="41"/>
  <c r="L39" i="41"/>
  <c r="K39" i="41"/>
  <c r="J39" i="41"/>
  <c r="I39" i="41"/>
  <c r="H39" i="41"/>
  <c r="G39" i="41"/>
  <c r="S37" i="41"/>
  <c r="Q37" i="41"/>
  <c r="P37" i="41"/>
  <c r="O37" i="41"/>
  <c r="N37" i="41"/>
  <c r="M37" i="41"/>
  <c r="L37" i="41"/>
  <c r="K37" i="41"/>
  <c r="J37" i="41"/>
  <c r="I37" i="41"/>
  <c r="H37" i="41"/>
  <c r="G37" i="41"/>
  <c r="S40" i="41"/>
  <c r="Q40" i="41"/>
  <c r="P40" i="41"/>
  <c r="O40" i="41"/>
  <c r="N40" i="41"/>
  <c r="M40" i="41"/>
  <c r="L40" i="41"/>
  <c r="K40" i="41"/>
  <c r="J40" i="41"/>
  <c r="I40" i="41"/>
  <c r="H40" i="41"/>
  <c r="G40" i="41"/>
  <c r="S38" i="41"/>
  <c r="R38" i="41"/>
  <c r="Q38" i="41"/>
  <c r="P38" i="41"/>
  <c r="O38" i="41"/>
  <c r="N38" i="41"/>
  <c r="M38" i="41"/>
  <c r="L38" i="41"/>
  <c r="K38" i="41"/>
  <c r="J38" i="41"/>
  <c r="I38" i="41"/>
  <c r="H38" i="41"/>
  <c r="G38" i="41"/>
  <c r="S36" i="41"/>
  <c r="R36" i="41"/>
  <c r="Q36" i="41"/>
  <c r="P36" i="41"/>
  <c r="O36" i="41"/>
  <c r="N36" i="41"/>
  <c r="M36" i="41"/>
  <c r="L36" i="41"/>
  <c r="K36" i="41"/>
  <c r="J36" i="41"/>
  <c r="I36" i="41"/>
  <c r="H36" i="41"/>
  <c r="G36" i="41"/>
  <c r="S35" i="41"/>
  <c r="R35" i="41"/>
  <c r="Q35" i="41"/>
  <c r="P35" i="41"/>
  <c r="O35" i="41"/>
  <c r="N35" i="41"/>
  <c r="M35" i="41"/>
  <c r="L35" i="41"/>
  <c r="K35" i="41"/>
  <c r="J35" i="41"/>
  <c r="I35" i="41"/>
  <c r="H35" i="41"/>
  <c r="G35" i="41"/>
  <c r="S34" i="41"/>
  <c r="Q34" i="41"/>
  <c r="P34" i="41"/>
  <c r="O34" i="41"/>
  <c r="N34" i="41"/>
  <c r="M34" i="41"/>
  <c r="L34" i="41"/>
  <c r="K34" i="41"/>
  <c r="J34" i="41"/>
  <c r="I34" i="41"/>
  <c r="H34" i="41"/>
  <c r="G34" i="41"/>
  <c r="S33" i="41"/>
  <c r="R33" i="41"/>
  <c r="Q33" i="41"/>
  <c r="P33" i="41"/>
  <c r="O33" i="41"/>
  <c r="N33" i="41"/>
  <c r="M33" i="41"/>
  <c r="L33" i="41"/>
  <c r="K33" i="41"/>
  <c r="J33" i="41"/>
  <c r="I33" i="41"/>
  <c r="H33" i="41"/>
  <c r="G33" i="41"/>
  <c r="S32" i="41"/>
  <c r="R32" i="41"/>
  <c r="Q32" i="41"/>
  <c r="P32" i="41"/>
  <c r="O32" i="41"/>
  <c r="N32" i="41"/>
  <c r="M32" i="41"/>
  <c r="L32" i="41"/>
  <c r="K32" i="41"/>
  <c r="J32" i="41"/>
  <c r="I32" i="41"/>
  <c r="H32" i="41"/>
  <c r="G32" i="41"/>
  <c r="S31" i="41"/>
  <c r="Q31" i="41"/>
  <c r="P31" i="41"/>
  <c r="O31" i="41"/>
  <c r="N31" i="41"/>
  <c r="M31" i="41"/>
  <c r="L31" i="41"/>
  <c r="K31" i="41"/>
  <c r="J31" i="41"/>
  <c r="I31" i="41"/>
  <c r="H31" i="41"/>
  <c r="G31" i="41"/>
  <c r="S30" i="41"/>
  <c r="R30" i="41"/>
  <c r="Q30" i="41"/>
  <c r="P30" i="41"/>
  <c r="O30" i="41"/>
  <c r="N30" i="41"/>
  <c r="M30" i="41"/>
  <c r="L30" i="41"/>
  <c r="K30" i="41"/>
  <c r="J30" i="41"/>
  <c r="I30" i="41"/>
  <c r="H30" i="41"/>
  <c r="G30" i="41"/>
  <c r="S29" i="41"/>
  <c r="R29" i="41"/>
  <c r="Q29" i="41"/>
  <c r="P29" i="41"/>
  <c r="O29" i="41"/>
  <c r="N29" i="41"/>
  <c r="M29" i="41"/>
  <c r="L29" i="41"/>
  <c r="K29" i="41"/>
  <c r="J29" i="41"/>
  <c r="I29" i="41"/>
  <c r="H29" i="41"/>
  <c r="G29" i="41"/>
  <c r="S28" i="41"/>
  <c r="Q28" i="41"/>
  <c r="P28" i="41"/>
  <c r="O28" i="41"/>
  <c r="N28" i="41"/>
  <c r="M28" i="41"/>
  <c r="L28" i="41"/>
  <c r="K28" i="41"/>
  <c r="J28" i="41"/>
  <c r="I28" i="41"/>
  <c r="H28" i="41"/>
  <c r="G28" i="41"/>
  <c r="S27" i="41"/>
  <c r="R27" i="41"/>
  <c r="Q27" i="41"/>
  <c r="P27" i="41"/>
  <c r="O27" i="41"/>
  <c r="N27" i="41"/>
  <c r="M27" i="41"/>
  <c r="L27" i="41"/>
  <c r="K27" i="41"/>
  <c r="J27" i="41"/>
  <c r="I27" i="41"/>
  <c r="H27" i="41"/>
  <c r="G27" i="41"/>
  <c r="S26" i="41"/>
  <c r="R26" i="41"/>
  <c r="Q26" i="41"/>
  <c r="P26" i="41"/>
  <c r="O26" i="41"/>
  <c r="N26" i="41"/>
  <c r="M26" i="41"/>
  <c r="L26" i="41"/>
  <c r="K26" i="41"/>
  <c r="J26" i="41"/>
  <c r="I26" i="41"/>
  <c r="H26" i="41"/>
  <c r="G26" i="41"/>
  <c r="S25" i="41"/>
  <c r="Q25" i="41"/>
  <c r="P25" i="41"/>
  <c r="O25" i="41"/>
  <c r="N25" i="41"/>
  <c r="M25" i="41"/>
  <c r="L25" i="41"/>
  <c r="K25" i="41"/>
  <c r="J25" i="41"/>
  <c r="I25" i="41"/>
  <c r="H25" i="41"/>
  <c r="G25" i="41"/>
  <c r="S24" i="41"/>
  <c r="R24" i="41"/>
  <c r="Q24" i="41"/>
  <c r="P24" i="41"/>
  <c r="O24" i="41"/>
  <c r="N24" i="41"/>
  <c r="M24" i="41"/>
  <c r="L24" i="41"/>
  <c r="K24" i="41"/>
  <c r="J24" i="41"/>
  <c r="I24" i="41"/>
  <c r="H24" i="41"/>
  <c r="G24" i="41"/>
  <c r="S23" i="41"/>
  <c r="R23" i="41"/>
  <c r="Q23" i="41"/>
  <c r="P23" i="41"/>
  <c r="O23" i="41"/>
  <c r="N23" i="41"/>
  <c r="M23" i="41"/>
  <c r="L23" i="41"/>
  <c r="K23" i="41"/>
  <c r="J23" i="41"/>
  <c r="I23" i="41"/>
  <c r="H23" i="41"/>
  <c r="G23" i="41"/>
  <c r="S22" i="41"/>
  <c r="Q22" i="41"/>
  <c r="P22" i="41"/>
  <c r="O22" i="41"/>
  <c r="N22" i="41"/>
  <c r="M22" i="41"/>
  <c r="L22" i="41"/>
  <c r="K22" i="41"/>
  <c r="J22" i="41"/>
  <c r="I22" i="41"/>
  <c r="H22" i="41"/>
  <c r="G22" i="41"/>
  <c r="S21" i="41"/>
  <c r="R21" i="41"/>
  <c r="Q21" i="41"/>
  <c r="P21" i="41"/>
  <c r="O21" i="41"/>
  <c r="N21" i="41"/>
  <c r="M21" i="41"/>
  <c r="L21" i="41"/>
  <c r="K21" i="41"/>
  <c r="J21" i="41"/>
  <c r="I21" i="41"/>
  <c r="H21" i="41"/>
  <c r="G21" i="41"/>
  <c r="R20" i="41"/>
  <c r="Q20" i="41"/>
  <c r="P20" i="41"/>
  <c r="O20" i="41"/>
  <c r="N20" i="41"/>
  <c r="M20" i="41"/>
  <c r="L20" i="41"/>
  <c r="K20" i="41"/>
  <c r="J20" i="41"/>
  <c r="I20" i="41"/>
  <c r="H20" i="41"/>
  <c r="G20" i="41"/>
  <c r="R25" i="41"/>
  <c r="R28" i="41"/>
  <c r="R31" i="41"/>
  <c r="R34" i="41"/>
  <c r="R37" i="41"/>
  <c r="R40" i="41"/>
  <c r="R43" i="41"/>
  <c r="R46" i="41"/>
  <c r="R49" i="41"/>
  <c r="R52" i="41"/>
  <c r="R55" i="41"/>
  <c r="R58" i="41"/>
  <c r="R61" i="41"/>
  <c r="R64" i="41"/>
  <c r="R67" i="41"/>
  <c r="R70" i="41"/>
  <c r="R73" i="41"/>
  <c r="R76" i="41"/>
  <c r="R79" i="41"/>
  <c r="R82" i="41"/>
  <c r="R85" i="41"/>
  <c r="R88" i="41"/>
  <c r="R91" i="41"/>
  <c r="R22" i="41"/>
  <c r="S19" i="41"/>
  <c r="R19" i="41"/>
  <c r="Q19" i="41"/>
  <c r="P19" i="41"/>
  <c r="O19" i="41"/>
  <c r="N19" i="41"/>
  <c r="M19" i="41"/>
  <c r="L19" i="41"/>
  <c r="K19" i="41"/>
  <c r="J19" i="41"/>
  <c r="I19" i="41"/>
  <c r="H19" i="41"/>
  <c r="G19" i="41"/>
  <c r="S18" i="41"/>
  <c r="R18" i="41"/>
  <c r="Q18" i="41"/>
  <c r="P18" i="41"/>
  <c r="O18" i="41"/>
  <c r="N18" i="41"/>
  <c r="M18" i="41"/>
  <c r="L18" i="41"/>
  <c r="K18" i="41"/>
  <c r="J18" i="41"/>
  <c r="I18" i="41"/>
  <c r="H18" i="41"/>
  <c r="G18" i="41"/>
  <c r="S17" i="41"/>
  <c r="R17" i="41"/>
  <c r="P17" i="41"/>
  <c r="O17" i="41"/>
  <c r="N17" i="41"/>
  <c r="Q17" i="41"/>
  <c r="M17" i="41"/>
  <c r="L17" i="41"/>
  <c r="K17" i="41"/>
  <c r="J17" i="41"/>
  <c r="I17" i="41"/>
  <c r="H17" i="41"/>
  <c r="G17" i="41"/>
  <c r="G14" i="41"/>
  <c r="S16" i="41"/>
  <c r="S15" i="41"/>
  <c r="S14" i="41"/>
  <c r="R16" i="41"/>
  <c r="R15" i="41"/>
  <c r="R14" i="41"/>
  <c r="Q16" i="41"/>
  <c r="Q15" i="41"/>
  <c r="Q14" i="41"/>
  <c r="P16" i="41"/>
  <c r="P15" i="41"/>
  <c r="P14" i="41"/>
  <c r="O16" i="41"/>
  <c r="O15" i="41"/>
  <c r="O14" i="41"/>
  <c r="N16" i="41"/>
  <c r="N15" i="41"/>
  <c r="N14" i="41"/>
  <c r="M16" i="41"/>
  <c r="M15" i="41"/>
  <c r="M14" i="41"/>
  <c r="L16" i="41"/>
  <c r="L15" i="41"/>
  <c r="L14" i="41"/>
  <c r="K16" i="41"/>
  <c r="K15" i="41"/>
  <c r="K14" i="41"/>
  <c r="J16" i="41"/>
  <c r="J15" i="41"/>
  <c r="J14" i="41"/>
  <c r="I16" i="41"/>
  <c r="I15" i="41"/>
  <c r="I14" i="41"/>
  <c r="H16" i="41"/>
  <c r="H15" i="41"/>
  <c r="H14" i="41"/>
  <c r="G16" i="41"/>
  <c r="G15" i="41"/>
  <c r="G7" i="41"/>
  <c r="G8" i="41"/>
  <c r="G6" i="41"/>
  <c r="C5" i="41"/>
  <c r="C4" i="41"/>
  <c r="D9" i="15"/>
  <c r="D9" i="17"/>
  <c r="D9" i="14"/>
  <c r="D9" i="13"/>
  <c r="D9" i="22"/>
  <c r="D9" i="21"/>
  <c r="D9" i="20"/>
  <c r="D9" i="11"/>
  <c r="D9" i="16"/>
  <c r="D9" i="12"/>
  <c r="D9" i="10"/>
  <c r="D9" i="9"/>
  <c r="D4" i="8"/>
  <c r="M40" i="37"/>
  <c r="M38" i="37"/>
  <c r="M36" i="37"/>
  <c r="M34" i="37"/>
  <c r="M41" i="37"/>
  <c r="M39" i="37"/>
  <c r="M37" i="37"/>
  <c r="M35" i="37"/>
  <c r="M30" i="37"/>
  <c r="M28" i="37"/>
  <c r="M29" i="37"/>
  <c r="M31" i="37"/>
  <c r="M27" i="37"/>
  <c r="M23" i="37"/>
  <c r="M21" i="37"/>
  <c r="M19" i="37"/>
  <c r="M17" i="37"/>
  <c r="M15" i="37"/>
  <c r="M16" i="37"/>
  <c r="M18" i="37"/>
  <c r="M20" i="37"/>
  <c r="M22" i="37"/>
  <c r="M24" i="37"/>
  <c r="F41" i="37"/>
  <c r="D8" i="18"/>
  <c r="D7" i="18"/>
  <c r="D4" i="18"/>
  <c r="D8" i="17"/>
  <c r="D7" i="17"/>
  <c r="D4" i="17"/>
  <c r="D8" i="15"/>
  <c r="D7" i="15"/>
  <c r="D4" i="15"/>
  <c r="D8" i="14"/>
  <c r="D7" i="14"/>
  <c r="D4" i="14"/>
  <c r="J34" i="37"/>
  <c r="D8" i="13"/>
  <c r="D7" i="13"/>
  <c r="D4" i="13"/>
  <c r="D8" i="22"/>
  <c r="D7" i="22"/>
  <c r="D4" i="22"/>
  <c r="D8" i="21"/>
  <c r="D7" i="21"/>
  <c r="D4" i="21"/>
  <c r="D8" i="20"/>
  <c r="D7" i="20"/>
  <c r="D4" i="20"/>
  <c r="D8" i="16"/>
  <c r="D7" i="16"/>
  <c r="D4" i="16"/>
  <c r="D8" i="11"/>
  <c r="D7" i="11"/>
  <c r="D4" i="11"/>
  <c r="F19" i="37"/>
  <c r="D8" i="12"/>
  <c r="D7" i="12"/>
  <c r="D4" i="12"/>
  <c r="D8" i="10"/>
  <c r="D7" i="10"/>
  <c r="D4" i="10"/>
  <c r="J41" i="37"/>
  <c r="J39" i="37"/>
  <c r="J37" i="37"/>
  <c r="J35" i="37"/>
  <c r="J31" i="37"/>
  <c r="J29" i="37"/>
  <c r="J27" i="37"/>
  <c r="J24" i="37"/>
  <c r="J22" i="37"/>
  <c r="J20" i="37"/>
  <c r="J18" i="37"/>
  <c r="J16" i="37"/>
  <c r="F39" i="37"/>
  <c r="F37" i="37"/>
  <c r="F31" i="37"/>
  <c r="F29" i="37"/>
  <c r="F27" i="37"/>
  <c r="F24" i="37"/>
  <c r="F22" i="37"/>
  <c r="F20" i="37"/>
  <c r="F18" i="37"/>
  <c r="D8" i="9"/>
  <c r="D7" i="9"/>
  <c r="D4" i="9"/>
  <c r="M14" i="37"/>
  <c r="J14" i="37"/>
  <c r="F14" i="37"/>
  <c r="N5" i="37"/>
  <c r="N4" i="37"/>
  <c r="N3" i="37"/>
  <c r="C33" i="2"/>
  <c r="S12" i="41" s="1"/>
  <c r="C32" i="2"/>
  <c r="D6" i="15" s="1"/>
  <c r="C31" i="2"/>
  <c r="Q12" i="41" s="1"/>
  <c r="C30" i="2"/>
  <c r="P12" i="41"/>
  <c r="D31" i="37"/>
  <c r="D29" i="37"/>
  <c r="D27" i="37"/>
  <c r="D24" i="37"/>
  <c r="D22" i="37"/>
  <c r="D20" i="37"/>
  <c r="C4" i="36"/>
  <c r="E3" i="37"/>
  <c r="D18" i="37"/>
  <c r="D16" i="37"/>
  <c r="D14" i="37"/>
  <c r="I14" i="37"/>
  <c r="I13" i="37"/>
  <c r="A6" i="34"/>
  <c r="A7" i="34" s="1"/>
  <c r="A8" i="34" s="1"/>
  <c r="A9" i="34" s="1"/>
  <c r="A10" i="34" s="1"/>
  <c r="A11" i="34" s="1"/>
  <c r="A12" i="34" s="1"/>
  <c r="A13" i="34" s="1"/>
  <c r="A14" i="34" s="1"/>
  <c r="A15" i="34" s="1"/>
  <c r="A16" i="34" s="1"/>
  <c r="A17" i="34" s="1"/>
  <c r="A18" i="34" s="1"/>
  <c r="A19" i="34" s="1"/>
  <c r="A20" i="34" s="1"/>
  <c r="A21" i="34" s="1"/>
  <c r="A22" i="34" s="1"/>
  <c r="A23" i="34" s="1"/>
  <c r="A24" i="34" s="1"/>
  <c r="D6" i="8"/>
  <c r="J37" i="31"/>
  <c r="J36" i="31"/>
  <c r="J31" i="31"/>
  <c r="B6" i="30"/>
  <c r="B7" i="30"/>
  <c r="B8" i="30" s="1"/>
  <c r="B9" i="30" s="1"/>
  <c r="B10" i="30" s="1"/>
  <c r="B11" i="30" s="1"/>
  <c r="B12" i="30" s="1"/>
  <c r="B13" i="30" s="1"/>
  <c r="B14" i="30" s="1"/>
  <c r="B15" i="30" s="1"/>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B39" i="30" s="1"/>
  <c r="B40" i="30" s="1"/>
  <c r="B41" i="30" s="1"/>
  <c r="B42" i="30" s="1"/>
  <c r="B43" i="30" s="1"/>
  <c r="B44" i="30" s="1"/>
  <c r="B45" i="30" s="1"/>
  <c r="B46" i="30" s="1"/>
  <c r="B47" i="30" s="1"/>
  <c r="B48" i="30" s="1"/>
  <c r="B49" i="30" s="1"/>
  <c r="B50" i="30" s="1"/>
  <c r="B51" i="30" s="1"/>
  <c r="B52" i="30" s="1"/>
  <c r="B53" i="30" s="1"/>
  <c r="B54" i="30" s="1"/>
  <c r="B55" i="30" s="1"/>
  <c r="B56" i="30" s="1"/>
  <c r="B57" i="30" s="1"/>
  <c r="B58" i="30" s="1"/>
  <c r="B59" i="30" s="1"/>
  <c r="B60" i="30" s="1"/>
  <c r="B61" i="30" s="1"/>
  <c r="B62" i="30" s="1"/>
  <c r="B63" i="30" s="1"/>
  <c r="B64" i="30" s="1"/>
  <c r="B65" i="30" s="1"/>
  <c r="B66" i="30" s="1"/>
  <c r="B67" i="30" s="1"/>
  <c r="B68" i="30" s="1"/>
  <c r="B69" i="30" s="1"/>
  <c r="B70" i="30" s="1"/>
  <c r="B71" i="30" s="1"/>
  <c r="B72" i="30" s="1"/>
  <c r="B73" i="30" s="1"/>
  <c r="B74" i="30" s="1"/>
  <c r="B75" i="30" s="1"/>
  <c r="B76" i="30" s="1"/>
  <c r="B77" i="30" s="1"/>
  <c r="B78" i="30" s="1"/>
  <c r="B79" i="30" s="1"/>
  <c r="B80" i="30" s="1"/>
  <c r="B81" i="30" s="1"/>
  <c r="B82" i="30" s="1"/>
  <c r="B83" i="30" s="1"/>
  <c r="B84" i="30" s="1"/>
  <c r="B85" i="30" s="1"/>
  <c r="B86" i="30" s="1"/>
  <c r="B87" i="30" s="1"/>
  <c r="B88" i="30" s="1"/>
  <c r="B89" i="30" s="1"/>
  <c r="B90" i="30" s="1"/>
  <c r="B91" i="30" s="1"/>
  <c r="B92" i="30" s="1"/>
  <c r="B93" i="30" s="1"/>
  <c r="B94" i="30" s="1"/>
  <c r="B95" i="30" s="1"/>
  <c r="B96" i="30" s="1"/>
  <c r="B97" i="30" s="1"/>
  <c r="B98" i="30" s="1"/>
  <c r="B99" i="30" s="1"/>
  <c r="B100" i="30" s="1"/>
  <c r="B101" i="30" s="1"/>
  <c r="B102" i="30" s="1"/>
  <c r="B103" i="30" s="1"/>
  <c r="B104" i="30" s="1"/>
  <c r="F9" i="8"/>
  <c r="D9" i="8"/>
  <c r="D8" i="8"/>
  <c r="D7" i="8"/>
  <c r="J11" i="27"/>
  <c r="J10" i="27"/>
  <c r="J9" i="27"/>
  <c r="D43" i="37"/>
  <c r="D34" i="37"/>
  <c r="D55" i="48"/>
  <c r="D6" i="13"/>
  <c r="H19" i="37" l="1"/>
  <c r="I19" i="37" s="1"/>
  <c r="G19" i="37"/>
  <c r="L21" i="37"/>
  <c r="K21" i="37"/>
  <c r="L13" i="37"/>
  <c r="K13" i="37"/>
  <c r="L15" i="37"/>
  <c r="K15" i="37"/>
  <c r="L17" i="37"/>
  <c r="K17" i="37"/>
  <c r="L19" i="37"/>
  <c r="K19" i="37"/>
  <c r="L23" i="37"/>
  <c r="K23" i="37"/>
  <c r="H26" i="37"/>
  <c r="I26" i="37" s="1"/>
  <c r="G26" i="37"/>
  <c r="L26" i="37"/>
  <c r="K26" i="37"/>
  <c r="L28" i="37"/>
  <c r="K28" i="37"/>
  <c r="L36" i="37"/>
  <c r="K36" i="37"/>
  <c r="L38" i="37"/>
  <c r="K38" i="37"/>
  <c r="L40" i="37"/>
  <c r="K40" i="37"/>
  <c r="L43" i="37"/>
  <c r="K43" i="37"/>
  <c r="L34" i="37"/>
  <c r="K34" i="37"/>
  <c r="H34" i="37"/>
  <c r="I34" i="37" s="1"/>
  <c r="G34" i="37"/>
  <c r="H15" i="37"/>
  <c r="I15" i="37" s="1"/>
  <c r="G15" i="37"/>
  <c r="H17" i="37"/>
  <c r="I17" i="37" s="1"/>
  <c r="G17" i="37"/>
  <c r="H21" i="37"/>
  <c r="I21" i="37" s="1"/>
  <c r="G21" i="37"/>
  <c r="H28" i="37"/>
  <c r="G28" i="37"/>
  <c r="H36" i="37"/>
  <c r="I36" i="37" s="1"/>
  <c r="G36" i="37"/>
  <c r="H38" i="37"/>
  <c r="I38" i="37" s="1"/>
  <c r="G38" i="37"/>
  <c r="H40" i="37"/>
  <c r="I40" i="37" s="1"/>
  <c r="G40" i="37"/>
  <c r="H43" i="37"/>
  <c r="I43" i="37" s="1"/>
  <c r="G43" i="37"/>
  <c r="L30" i="37"/>
  <c r="K30" i="37"/>
  <c r="H13" i="37"/>
  <c r="G13" i="37"/>
  <c r="D51" i="37"/>
  <c r="D52" i="37"/>
  <c r="F51" i="37"/>
  <c r="F52" i="37"/>
  <c r="D6" i="17"/>
  <c r="D40" i="37"/>
  <c r="R12" i="41"/>
  <c r="D38" i="37"/>
  <c r="D6" i="14"/>
  <c r="D36" i="37"/>
  <c r="T12" i="41"/>
  <c r="AA35" i="41"/>
  <c r="AA41" i="41"/>
  <c r="AA65" i="41"/>
  <c r="V24" i="41"/>
  <c r="AA59" i="41"/>
  <c r="V111" i="41"/>
  <c r="V63" i="41"/>
  <c r="V74" i="41"/>
  <c r="F29" i="25" s="1"/>
  <c r="V90" i="41"/>
  <c r="V27" i="41"/>
  <c r="V69" i="41"/>
  <c r="V26" i="41"/>
  <c r="F13" i="25" s="1"/>
  <c r="V102" i="41"/>
  <c r="V114" i="41"/>
  <c r="V30" i="41"/>
  <c r="V66" i="41"/>
  <c r="V80" i="41"/>
  <c r="F31" i="25" s="1"/>
  <c r="V120" i="41"/>
  <c r="V17" i="41"/>
  <c r="F10" i="25" s="1"/>
  <c r="V51" i="41"/>
  <c r="V62" i="41"/>
  <c r="F25" i="25" s="1"/>
  <c r="V75" i="41"/>
  <c r="AA86" i="41"/>
  <c r="V87" i="41"/>
  <c r="V93" i="41"/>
  <c r="V117" i="41"/>
  <c r="V36" i="41"/>
  <c r="V48" i="41"/>
  <c r="V54" i="41"/>
  <c r="V60" i="41"/>
  <c r="AA74" i="41"/>
  <c r="V78" i="41"/>
  <c r="V83" i="41"/>
  <c r="F32" i="25" s="1"/>
  <c r="V86" i="41"/>
  <c r="F33" i="25" s="1"/>
  <c r="AA89" i="41"/>
  <c r="V98" i="41"/>
  <c r="F37" i="25" s="1"/>
  <c r="V110" i="41"/>
  <c r="AA20" i="41"/>
  <c r="V21" i="41"/>
  <c r="AA32" i="41"/>
  <c r="AA38" i="41"/>
  <c r="AA44" i="41"/>
  <c r="AA62" i="41"/>
  <c r="V72" i="41"/>
  <c r="V77" i="41"/>
  <c r="F30" i="25" s="1"/>
  <c r="V84" i="41"/>
  <c r="V95" i="41"/>
  <c r="F36" i="25" s="1"/>
  <c r="AA119" i="41"/>
  <c r="V35" i="41"/>
  <c r="F16" i="25" s="1"/>
  <c r="AA17" i="41"/>
  <c r="V50" i="41"/>
  <c r="F21" i="25" s="1"/>
  <c r="V23" i="41"/>
  <c r="F12" i="25" s="1"/>
  <c r="V47" i="41"/>
  <c r="F20" i="25" s="1"/>
  <c r="V42" i="41"/>
  <c r="V45" i="41"/>
  <c r="AA80" i="41"/>
  <c r="V65" i="41"/>
  <c r="F26" i="25" s="1"/>
  <c r="V104" i="41"/>
  <c r="F39" i="25" s="1"/>
  <c r="V107" i="41"/>
  <c r="F40" i="25" s="1"/>
  <c r="V116" i="41"/>
  <c r="V119" i="41"/>
  <c r="V108" i="41"/>
  <c r="V15" i="41"/>
  <c r="V18" i="41"/>
  <c r="V29" i="41"/>
  <c r="F14" i="25" s="1"/>
  <c r="V33" i="41"/>
  <c r="V38" i="41"/>
  <c r="F17" i="25" s="1"/>
  <c r="V41" i="41"/>
  <c r="F18" i="25" s="1"/>
  <c r="V56" i="41"/>
  <c r="F23" i="25" s="1"/>
  <c r="AA71" i="41"/>
  <c r="V101" i="41"/>
  <c r="F38" i="25" s="1"/>
  <c r="AA53" i="41"/>
  <c r="H30" i="37"/>
  <c r="I30" i="37" s="1"/>
  <c r="H23" i="37"/>
  <c r="I23" i="37" s="1"/>
  <c r="A25" i="34"/>
  <c r="A26" i="34" s="1"/>
  <c r="A27" i="34" s="1"/>
  <c r="A28" i="34" s="1"/>
  <c r="A29" i="34" s="1"/>
  <c r="A30" i="34" s="1"/>
  <c r="A31" i="34" s="1"/>
  <c r="A32" i="34" s="1"/>
  <c r="A33" i="34" s="1"/>
  <c r="A34" i="34" s="1"/>
  <c r="A35" i="34" s="1"/>
  <c r="A36" i="34" s="1"/>
  <c r="A37" i="34" s="1"/>
  <c r="A38" i="34" s="1"/>
  <c r="A39" i="34" s="1"/>
  <c r="A40" i="34" s="1"/>
  <c r="A41" i="34" s="1"/>
  <c r="A42" i="34" s="1"/>
  <c r="A43" i="34" s="1"/>
  <c r="A44" i="34" s="1"/>
  <c r="F50" i="37"/>
  <c r="D50" i="37"/>
  <c r="F49" i="37"/>
  <c r="D49" i="37"/>
  <c r="N12" i="37"/>
  <c r="AA14" i="41"/>
  <c r="V14" i="41"/>
  <c r="F9" i="25" s="1"/>
  <c r="AA26" i="41"/>
  <c r="AA29" i="41"/>
  <c r="D6" i="44"/>
  <c r="U12" i="41"/>
  <c r="V44" i="41"/>
  <c r="F19" i="25" s="1"/>
  <c r="V20" i="41"/>
  <c r="F11" i="25" s="1"/>
  <c r="AA56" i="41"/>
  <c r="V59" i="41"/>
  <c r="F24" i="25" s="1"/>
  <c r="V32" i="41"/>
  <c r="F15" i="25" s="1"/>
  <c r="V92" i="41"/>
  <c r="F35" i="25" s="1"/>
  <c r="V99" i="41"/>
  <c r="D45" i="37"/>
  <c r="F57" i="37"/>
  <c r="F55" i="37"/>
  <c r="V53" i="41"/>
  <c r="F22" i="25" s="1"/>
  <c r="V81" i="41"/>
  <c r="V96" i="41"/>
  <c r="AA47" i="41"/>
  <c r="V71" i="41"/>
  <c r="F28" i="25" s="1"/>
  <c r="F56" i="37"/>
  <c r="AA23" i="41"/>
  <c r="V39" i="41"/>
  <c r="AA50" i="41"/>
  <c r="V57" i="41"/>
  <c r="AA68" i="41"/>
  <c r="V68" i="41"/>
  <c r="F27" i="25" s="1"/>
  <c r="AA77" i="41"/>
  <c r="AA83" i="41"/>
  <c r="V89" i="41"/>
  <c r="F34" i="25" s="1"/>
  <c r="V105" i="41"/>
  <c r="V113" i="41"/>
  <c r="G28" i="25" l="1"/>
  <c r="G22" i="25"/>
  <c r="G29" i="25"/>
  <c r="G31" i="25"/>
  <c r="G27" i="25"/>
  <c r="G26" i="25"/>
  <c r="G18" i="25"/>
  <c r="G33" i="25"/>
  <c r="G12" i="25"/>
  <c r="G23" i="25"/>
  <c r="G11" i="25"/>
  <c r="G15" i="25"/>
  <c r="G19" i="25"/>
  <c r="G39" i="25"/>
  <c r="G14" i="25"/>
  <c r="G21" i="25"/>
  <c r="G24" i="25"/>
  <c r="G46" i="25"/>
  <c r="G41" i="25"/>
  <c r="G36" i="25"/>
  <c r="G42" i="25"/>
  <c r="G9" i="25"/>
  <c r="G10" i="25"/>
  <c r="G47" i="25"/>
  <c r="G37" i="25"/>
  <c r="G44" i="25"/>
  <c r="G38" i="25"/>
  <c r="G40" i="25"/>
  <c r="G45" i="25"/>
  <c r="G43" i="25"/>
  <c r="G13" i="25"/>
  <c r="G20" i="25"/>
  <c r="G34" i="25"/>
  <c r="G35" i="25"/>
  <c r="G30" i="25"/>
  <c r="G16" i="25"/>
  <c r="G32" i="25"/>
  <c r="G25" i="25"/>
  <c r="G17" i="25"/>
</calcChain>
</file>

<file path=xl/comments1.xml><?xml version="1.0" encoding="utf-8"?>
<comments xmlns="http://schemas.openxmlformats.org/spreadsheetml/2006/main">
  <authors>
    <author>dzulfikar</author>
  </authors>
  <commentList>
    <comment ref="G14" authorId="0" shapeId="0">
      <text>
        <r>
          <rPr>
            <b/>
            <sz val="9"/>
            <color indexed="81"/>
            <rFont val="Tahoma"/>
            <family val="2"/>
          </rPr>
          <t>dzulfikar:</t>
        </r>
        <r>
          <rPr>
            <sz val="9"/>
            <color indexed="81"/>
            <rFont val="Tahoma"/>
            <family val="2"/>
          </rPr>
          <t xml:space="preserve">
Diisi dengan SB/B/C/K</t>
        </r>
      </text>
    </comment>
    <comment ref="H14" authorId="0" shapeId="0">
      <text>
        <r>
          <rPr>
            <b/>
            <sz val="9"/>
            <color indexed="81"/>
            <rFont val="Tahoma"/>
            <family val="2"/>
          </rPr>
          <t>dzulfikar:</t>
        </r>
        <r>
          <rPr>
            <sz val="9"/>
            <color indexed="81"/>
            <rFont val="Tahoma"/>
            <family val="2"/>
          </rPr>
          <t xml:space="preserve">
Rumus jangan dihapus
</t>
        </r>
      </text>
    </comment>
  </commentList>
</comments>
</file>

<file path=xl/comments2.xml><?xml version="1.0" encoding="utf-8"?>
<comments xmlns="http://schemas.openxmlformats.org/spreadsheetml/2006/main">
  <authors>
    <author>dzulfikar</author>
  </authors>
  <commentList>
    <comment ref="H14" authorId="0" shapeId="0">
      <text>
        <r>
          <rPr>
            <b/>
            <sz val="9"/>
            <color indexed="81"/>
            <rFont val="Tahoma"/>
            <family val="2"/>
          </rPr>
          <t>dzulfikar:</t>
        </r>
        <r>
          <rPr>
            <sz val="9"/>
            <color indexed="81"/>
            <rFont val="Tahoma"/>
            <family val="2"/>
          </rPr>
          <t xml:space="preserve">
rumus jangan dihapus</t>
        </r>
      </text>
    </comment>
    <comment ref="I14" authorId="0" shapeId="0">
      <text>
        <r>
          <rPr>
            <b/>
            <sz val="9"/>
            <color indexed="81"/>
            <rFont val="Tahoma"/>
            <family val="2"/>
          </rPr>
          <t>dzulfikar:</t>
        </r>
        <r>
          <rPr>
            <sz val="9"/>
            <color indexed="81"/>
            <rFont val="Tahoma"/>
            <family val="2"/>
          </rPr>
          <t xml:space="preserve">
rumus jangan dihapus</t>
        </r>
      </text>
    </comment>
  </commentList>
</comments>
</file>

<file path=xl/comments3.xml><?xml version="1.0" encoding="utf-8"?>
<comments xmlns="http://schemas.openxmlformats.org/spreadsheetml/2006/main">
  <authors>
    <author>dzulfikar</author>
  </authors>
  <commentList>
    <comment ref="H14" authorId="0" shapeId="0">
      <text>
        <r>
          <rPr>
            <b/>
            <sz val="9"/>
            <color indexed="81"/>
            <rFont val="Tahoma"/>
            <family val="2"/>
          </rPr>
          <t>dzulfikar:</t>
        </r>
        <r>
          <rPr>
            <sz val="9"/>
            <color indexed="81"/>
            <rFont val="Tahoma"/>
            <family val="2"/>
          </rPr>
          <t xml:space="preserve">
rumus jangan dihapus</t>
        </r>
      </text>
    </comment>
  </commentList>
</comments>
</file>

<file path=xl/comments4.xml><?xml version="1.0" encoding="utf-8"?>
<comments xmlns="http://schemas.openxmlformats.org/spreadsheetml/2006/main">
  <authors>
    <author>dzulfikar</author>
  </authors>
  <commentList>
    <comment ref="J4" authorId="0" shapeId="0">
      <text>
        <r>
          <rPr>
            <b/>
            <sz val="9"/>
            <color indexed="81"/>
            <rFont val="Tahoma"/>
            <family val="2"/>
          </rPr>
          <t>dzulfikar:</t>
        </r>
        <r>
          <rPr>
            <sz val="9"/>
            <color indexed="81"/>
            <rFont val="Tahoma"/>
            <family val="2"/>
          </rPr>
          <t xml:space="preserve">
masukkan nomor urut absensi</t>
        </r>
      </text>
    </comment>
  </commentList>
</comments>
</file>

<file path=xl/comments5.xml><?xml version="1.0" encoding="utf-8"?>
<comments xmlns="http://schemas.openxmlformats.org/spreadsheetml/2006/main">
  <authors>
    <author>dzulfikar</author>
  </authors>
  <commentList>
    <comment ref="Q6" authorId="0" shapeId="0">
      <text>
        <r>
          <rPr>
            <b/>
            <sz val="9"/>
            <color indexed="81"/>
            <rFont val="Tahoma"/>
            <family val="2"/>
          </rPr>
          <t>dzulfikar:</t>
        </r>
        <r>
          <rPr>
            <sz val="9"/>
            <color indexed="81"/>
            <rFont val="Tahoma"/>
            <family val="2"/>
          </rPr>
          <t xml:space="preserve">
Masukkan nomor urut absensi</t>
        </r>
      </text>
    </comment>
  </commentList>
</comments>
</file>

<file path=xl/sharedStrings.xml><?xml version="1.0" encoding="utf-8"?>
<sst xmlns="http://schemas.openxmlformats.org/spreadsheetml/2006/main" count="3848" uniqueCount="720">
  <si>
    <t>Tulis Data Pada kolom berwarna kuning</t>
  </si>
  <si>
    <t>Nama Sekolah</t>
  </si>
  <si>
    <t>Alamat Sekolah</t>
  </si>
  <si>
    <t>Tahun Pelajaran</t>
  </si>
  <si>
    <t>Kelas</t>
  </si>
  <si>
    <t>Nama Kepala Sekolah</t>
  </si>
  <si>
    <t>N I P.</t>
  </si>
  <si>
    <t>Nama Wali Kelas</t>
  </si>
  <si>
    <t>N0</t>
  </si>
  <si>
    <t>MATA PELAJARAN</t>
  </si>
  <si>
    <t xml:space="preserve">GURU PEMANGKU MATA PELAJARAN </t>
  </si>
  <si>
    <t>KKM</t>
  </si>
  <si>
    <t>Pendidikan Agama</t>
  </si>
  <si>
    <t>PPKN</t>
  </si>
  <si>
    <t>B.Indonesia</t>
  </si>
  <si>
    <t>Matematika</t>
  </si>
  <si>
    <t>Seni Budaya</t>
  </si>
  <si>
    <t>Cara Pengisian</t>
  </si>
  <si>
    <t>1.  Input  Data Guru</t>
  </si>
  <si>
    <t xml:space="preserve">2.  Input Data siswa </t>
  </si>
  <si>
    <t>NIS</t>
  </si>
  <si>
    <t>Nama Siswa</t>
  </si>
  <si>
    <t>No</t>
  </si>
  <si>
    <t>A</t>
  </si>
  <si>
    <t>B</t>
  </si>
  <si>
    <t>Sakit</t>
  </si>
  <si>
    <t>Izin</t>
  </si>
  <si>
    <t>Tanpa Keterangan</t>
  </si>
  <si>
    <t>Wali Kelas</t>
  </si>
  <si>
    <t>Hasil Yang akan dicetak</t>
  </si>
  <si>
    <t>1.  Raport</t>
  </si>
  <si>
    <t>3.  Leger</t>
  </si>
  <si>
    <t xml:space="preserve">      1.  Input Nilai masing - masing mata Pelajaran</t>
  </si>
  <si>
    <t xml:space="preserve">      2.  Input Kepribadian Siswa</t>
  </si>
  <si>
    <t xml:space="preserve">      3.  Input Absen</t>
  </si>
  <si>
    <t>:</t>
  </si>
  <si>
    <t>-</t>
  </si>
  <si>
    <t>Nama</t>
  </si>
  <si>
    <t>Mata Pelajaran</t>
  </si>
  <si>
    <t>Pengetahuan</t>
  </si>
  <si>
    <t>Sikap</t>
  </si>
  <si>
    <t>Angka</t>
  </si>
  <si>
    <t>Predikat</t>
  </si>
  <si>
    <t>Bahasa Indonesia</t>
  </si>
  <si>
    <t>Bahasa Inggris</t>
  </si>
  <si>
    <t>DAFTAR NILAI  ULANGAN UMUM SEMESTER</t>
  </si>
  <si>
    <t>Th.Pelajaran</t>
  </si>
  <si>
    <t>Nama Guru</t>
  </si>
  <si>
    <t>NO</t>
  </si>
  <si>
    <t>KONSEP</t>
  </si>
  <si>
    <t>DAFTAR RANGKING</t>
  </si>
  <si>
    <t>JUMLAH NILAI</t>
  </si>
  <si>
    <t>RANKING</t>
  </si>
  <si>
    <t>REKAP ABSEN</t>
  </si>
  <si>
    <t>NAMA</t>
  </si>
  <si>
    <t>LP</t>
  </si>
  <si>
    <t>JUMLAH</t>
  </si>
  <si>
    <t>alpa</t>
  </si>
  <si>
    <t>Jum</t>
  </si>
  <si>
    <t>Daftar Absen ini boleh dicetak</t>
  </si>
  <si>
    <t>3.  Input Daftar Nilai Meliputu :</t>
  </si>
  <si>
    <t>Catatan</t>
  </si>
  <si>
    <t>KELAS / SEMESTER      :</t>
  </si>
  <si>
    <t>NISN</t>
  </si>
  <si>
    <t>L/P</t>
  </si>
  <si>
    <t>ANGKA</t>
  </si>
  <si>
    <t>HURUF</t>
  </si>
  <si>
    <t>Satu</t>
  </si>
  <si>
    <t>Dua</t>
  </si>
  <si>
    <t>Tiga Puluh Lima</t>
  </si>
  <si>
    <t>Empat Puluh</t>
  </si>
  <si>
    <t>Lima</t>
  </si>
  <si>
    <t>Enam</t>
  </si>
  <si>
    <t>Tujuh</t>
  </si>
  <si>
    <t>Delapan</t>
  </si>
  <si>
    <t>Sembilan</t>
  </si>
  <si>
    <t>Sepuluh</t>
  </si>
  <si>
    <t>Sebelas</t>
  </si>
  <si>
    <t>Dua Belas</t>
  </si>
  <si>
    <t>Tiga Belas</t>
  </si>
  <si>
    <t>Empat Belas</t>
  </si>
  <si>
    <t>Lima Belas</t>
  </si>
  <si>
    <t>Enam Belas</t>
  </si>
  <si>
    <t>Tujuh Belas</t>
  </si>
  <si>
    <t>Depalan Belas</t>
  </si>
  <si>
    <t>Sembilan Belas</t>
  </si>
  <si>
    <t>Dua Puluh</t>
  </si>
  <si>
    <t>Dua Puluh Satu</t>
  </si>
  <si>
    <t>Dua Puluh Dua</t>
  </si>
  <si>
    <t>Dua Puluh Tiga</t>
  </si>
  <si>
    <t>Dua Puluh Empat</t>
  </si>
  <si>
    <t>Dua Puluh Lima</t>
  </si>
  <si>
    <t>Dua Puluh Enam</t>
  </si>
  <si>
    <t>Dua Puluh Tujuh</t>
  </si>
  <si>
    <t>Dua Puluh Delapan</t>
  </si>
  <si>
    <t>Dua Puluh Sembilan</t>
  </si>
  <si>
    <t>Tiga Puluh</t>
  </si>
  <si>
    <t>Tiga Puluh Satu</t>
  </si>
  <si>
    <t>Tiga Puluh Empat</t>
  </si>
  <si>
    <t>Tiga Puluh Enam</t>
  </si>
  <si>
    <t>Tiga Puluh Tujuh</t>
  </si>
  <si>
    <t>Tiga Puluh Delapan</t>
  </si>
  <si>
    <t>Tiga Puluh Sembilan</t>
  </si>
  <si>
    <t>Empat Puluh Satu</t>
  </si>
  <si>
    <t>Empat Puluh Dua</t>
  </si>
  <si>
    <t>Empat Puluh Tiga</t>
  </si>
  <si>
    <t>Empat Puluh Empat</t>
  </si>
  <si>
    <t>Empat Puluh Lima</t>
  </si>
  <si>
    <t>Empat Puluh Enam</t>
  </si>
  <si>
    <t>Empat Puluh Tujuh</t>
  </si>
  <si>
    <t>Empat Puluh Delapan</t>
  </si>
  <si>
    <t>Empat Puluh Sembilan</t>
  </si>
  <si>
    <t>Lima Puluh</t>
  </si>
  <si>
    <t>Lima Puluh Satu</t>
  </si>
  <si>
    <t>Lima Puluh Dua</t>
  </si>
  <si>
    <t>Lima Puluh Tiga</t>
  </si>
  <si>
    <t>Lima Puluh Empat</t>
  </si>
  <si>
    <t>Lima Puluh Lima</t>
  </si>
  <si>
    <t>Lima Puluh Enam</t>
  </si>
  <si>
    <t xml:space="preserve">Lima Puluh Tujuh </t>
  </si>
  <si>
    <t>Lima Puluh Delapan</t>
  </si>
  <si>
    <t>Lima Puluh Sembilan</t>
  </si>
  <si>
    <t>Enam Puluh</t>
  </si>
  <si>
    <t>Enam Puluh Satu</t>
  </si>
  <si>
    <t>Enam Puluh Dua</t>
  </si>
  <si>
    <t>Enam Puluh Tiga</t>
  </si>
  <si>
    <t>Enam Puluh Empat</t>
  </si>
  <si>
    <t>Enam Puluh Lima</t>
  </si>
  <si>
    <t>Enam Puluh Enam</t>
  </si>
  <si>
    <t>Enam Puluh Tujuh</t>
  </si>
  <si>
    <t>Enam Puluh Delapan</t>
  </si>
  <si>
    <t>Enam Puluh Sembilan</t>
  </si>
  <si>
    <t>Tujuh Puluh</t>
  </si>
  <si>
    <t>Tujuh Puluh Satu</t>
  </si>
  <si>
    <t>Tujuh Puluh Dua</t>
  </si>
  <si>
    <t>Tujuh Puluh Tiga</t>
  </si>
  <si>
    <t>Tujuh Puluh Empat</t>
  </si>
  <si>
    <t>Tujuh Puluh Lima</t>
  </si>
  <si>
    <t>Tujuh Puluh Enam</t>
  </si>
  <si>
    <t>Tujuh Puluh Tujuh</t>
  </si>
  <si>
    <t>Tujuh Puluh Delapan</t>
  </si>
  <si>
    <t>Tujuh Puluh Sembilan</t>
  </si>
  <si>
    <t>Delapan Puluh</t>
  </si>
  <si>
    <t>Delapan Puluh Satu</t>
  </si>
  <si>
    <t>Delapan Puluh Dua</t>
  </si>
  <si>
    <t>Delapan Puluh Tiga</t>
  </si>
  <si>
    <t>Delapan Puluh Empat</t>
  </si>
  <si>
    <t>Delapan Puluh Lima</t>
  </si>
  <si>
    <t>Delapan Puluh Enam</t>
  </si>
  <si>
    <t>Delapan Puluh Tujuh</t>
  </si>
  <si>
    <t>Delapan Puluh Delapan</t>
  </si>
  <si>
    <t>Delapan Puluh Sembilan</t>
  </si>
  <si>
    <t>Sembilan Puluh</t>
  </si>
  <si>
    <t>Sembilan Puluh Satu</t>
  </si>
  <si>
    <t>Sembilan Puluh Dua</t>
  </si>
  <si>
    <t>Sembilan Puluh Tiga</t>
  </si>
  <si>
    <t>Sembilan Puluh Empat</t>
  </si>
  <si>
    <t>Sembilan Puluh Lima</t>
  </si>
  <si>
    <t>Sembilan Puluh Enam</t>
  </si>
  <si>
    <t>Sembilan Puluh Tujuh</t>
  </si>
  <si>
    <t>Sembilan Puluh Delapan</t>
  </si>
  <si>
    <t>Sembilan Puluh Sembilan</t>
  </si>
  <si>
    <t>Seratus</t>
  </si>
  <si>
    <t>.</t>
  </si>
  <si>
    <t>Nomor Induk Siswa Nasional</t>
  </si>
  <si>
    <t>Tempat dan Tgl Lahir</t>
  </si>
  <si>
    <t>Jenis Kelamin</t>
  </si>
  <si>
    <t>Agama</t>
  </si>
  <si>
    <t>Status dalam Keluarga</t>
  </si>
  <si>
    <t>Anak Ke</t>
  </si>
  <si>
    <t>Alamat Siswa</t>
  </si>
  <si>
    <t>Telepon</t>
  </si>
  <si>
    <t>Sekolah Asal</t>
  </si>
  <si>
    <t>Diterima di Sekolah ini</t>
  </si>
  <si>
    <t xml:space="preserve"> </t>
  </si>
  <si>
    <t>Di Kelas</t>
  </si>
  <si>
    <t>Pada Tanggal</t>
  </si>
  <si>
    <t>Nama Orang Tua</t>
  </si>
  <si>
    <t>a.</t>
  </si>
  <si>
    <t>Ayah</t>
  </si>
  <si>
    <t>b.</t>
  </si>
  <si>
    <t>Ibu</t>
  </si>
  <si>
    <t>Alamat Orang Tua</t>
  </si>
  <si>
    <t>Pekerjaan Orang Tua</t>
  </si>
  <si>
    <t>Nama Wali</t>
  </si>
  <si>
    <t>Alamat Wali</t>
  </si>
  <si>
    <t>Pekerjaan Wali</t>
  </si>
  <si>
    <t>Kepala Sekolah,</t>
  </si>
  <si>
    <t xml:space="preserve">Tempat / Tgl Raport Semester </t>
  </si>
  <si>
    <t>NAMA SISWA</t>
  </si>
  <si>
    <t>L / P</t>
  </si>
  <si>
    <t>TAHUN PRLAJARAN    :</t>
  </si>
  <si>
    <t xml:space="preserve">DATA SISWA </t>
  </si>
  <si>
    <t>Apabila mengalami kesulitan silahkan hubungi penulis HP: 0852 473 22052</t>
  </si>
  <si>
    <t xml:space="preserve">KELAS </t>
  </si>
  <si>
    <t>Kelompok A (Wajib)</t>
  </si>
  <si>
    <t>1 - 4</t>
  </si>
  <si>
    <t>A/B/C/D</t>
  </si>
  <si>
    <t>SB/B/C/K</t>
  </si>
  <si>
    <t>Kelompok B (Wajib)</t>
  </si>
  <si>
    <t>Kelompok C (Peminatan)</t>
  </si>
  <si>
    <t>Keterangan dalam kegiatan</t>
  </si>
  <si>
    <t>Orang Tua / Wali Siswa,</t>
  </si>
  <si>
    <t>Wali Kelas,</t>
  </si>
  <si>
    <t>………………………………….</t>
  </si>
  <si>
    <t>Capaian Kompetensi</t>
  </si>
  <si>
    <t>Sikap Spritual dan Sosial</t>
  </si>
  <si>
    <t>Keterampilan</t>
  </si>
  <si>
    <t>Pendidikan Agama dan Budi Pekerti</t>
  </si>
  <si>
    <t>Pendidikan Pancasila dan Kewarganegaraan</t>
  </si>
  <si>
    <t>Sejarah Indonesia</t>
  </si>
  <si>
    <t>Pendidikan Jasmani, Olah raga dan Kesehatan</t>
  </si>
  <si>
    <t>Prakarya dan Kewirausahaan</t>
  </si>
  <si>
    <t>Pengetahuan                         ( KI - 3 )</t>
  </si>
  <si>
    <t>Keterampilan                     ( KI - 4 )</t>
  </si>
  <si>
    <t>KOMPETENSI</t>
  </si>
  <si>
    <t>CATATAN</t>
  </si>
  <si>
    <t>DESKRIPSI</t>
  </si>
  <si>
    <t>Sikap Spiritual Dan Sosial</t>
  </si>
  <si>
    <t>Ketrampilan</t>
  </si>
  <si>
    <t>Kog</t>
  </si>
  <si>
    <t>Psiko</t>
  </si>
  <si>
    <t>KONVERSI</t>
  </si>
  <si>
    <t>Sikap Spritual dan Sosial                     ( KI - 1 dan KI - 2 )</t>
  </si>
  <si>
    <t>Pend Jas Olah Raga dan Kes</t>
  </si>
  <si>
    <t>Prakarya Dan Kewira Usahaan</t>
  </si>
  <si>
    <t>MATA PELAJARAN PEMINATAN</t>
  </si>
  <si>
    <t>ISI DAFTAR MATA PELAJARAN PEMINATAN TERLEBIH DAHULU  DI SINI</t>
  </si>
  <si>
    <t xml:space="preserve">Kelas </t>
  </si>
  <si>
    <t>Semester</t>
  </si>
  <si>
    <t>Sikap        ( SB/B/C/K)</t>
  </si>
  <si>
    <t>Jangan di hapus kolum berwarna kuning</t>
  </si>
  <si>
    <t xml:space="preserve">REKAPITULASI LAPORAN CAPAIAN KOMPETENSI </t>
  </si>
  <si>
    <t xml:space="preserve">Tahun Pelajaran </t>
  </si>
  <si>
    <t>NO.</t>
  </si>
  <si>
    <t xml:space="preserve"> MATA  PELAJARAN</t>
  </si>
  <si>
    <t>KEHADIRAN</t>
  </si>
  <si>
    <t>ASPEK</t>
  </si>
  <si>
    <t>S</t>
  </si>
  <si>
    <t>I</t>
  </si>
  <si>
    <t>KODE</t>
  </si>
  <si>
    <t>Peng.</t>
  </si>
  <si>
    <t>Prak.</t>
  </si>
  <si>
    <t>MENU</t>
  </si>
  <si>
    <t>2. Deskripsi  Ketercapaian Kompetensi</t>
  </si>
  <si>
    <t xml:space="preserve">SIKAP SPIRITUAL   DAN SOSIAL ANTAR  MATA PELAJARAN </t>
  </si>
  <si>
    <t>Ketidak hadiran</t>
  </si>
  <si>
    <t>Mengetahui,</t>
  </si>
  <si>
    <t>ESKUL 1</t>
  </si>
  <si>
    <t>ESKUL 2</t>
  </si>
  <si>
    <t>ESKUL 3</t>
  </si>
  <si>
    <t>ESKUL 4</t>
  </si>
  <si>
    <t>KETERANGAN TENTANG DIRI PESERTA DIDIK</t>
  </si>
  <si>
    <t>Rata-rata</t>
  </si>
  <si>
    <t>II. Lintas Minat</t>
  </si>
  <si>
    <t>MATA PELAJARAN LINTAS MINAT</t>
  </si>
  <si>
    <t>ISI DAFTAR MATA PELAJARAN LINTAS MINAT TERLEBIH DAHULU DI SINI</t>
  </si>
  <si>
    <t>MATA  PELAJARAN LINTAS MINAT</t>
  </si>
  <si>
    <t>I. Peminatan</t>
  </si>
  <si>
    <r>
      <t xml:space="preserve">Tunggu  Hingga Muncul </t>
    </r>
    <r>
      <rPr>
        <b/>
        <sz val="12"/>
        <color indexed="8"/>
        <rFont val="Calibri"/>
        <family val="2"/>
        <charset val="1"/>
      </rPr>
      <t>" TANGAN " kemudian click</t>
    </r>
  </si>
  <si>
    <t>PERHATIAN !!!</t>
  </si>
  <si>
    <t>Pilih Mata Pelajaran Di samping Untuk Mengisi Nilai</t>
  </si>
  <si>
    <t>D</t>
  </si>
  <si>
    <t>D+</t>
  </si>
  <si>
    <t>C-</t>
  </si>
  <si>
    <t>C</t>
  </si>
  <si>
    <t>C+</t>
  </si>
  <si>
    <t>B-</t>
  </si>
  <si>
    <t>B+</t>
  </si>
  <si>
    <t>A-</t>
  </si>
  <si>
    <t>Keputusan:</t>
  </si>
  <si>
    <t>Berdasarkan Hasil yang dicapai pada</t>
  </si>
  <si>
    <t>Klik Dibawah ini</t>
  </si>
  <si>
    <t>Apa Bila Ingin Menggunakan Photo Dalam Indentitas Siswa</t>
  </si>
  <si>
    <t>PHOTO</t>
  </si>
  <si>
    <t>Fisika</t>
  </si>
  <si>
    <t>Kimia</t>
  </si>
  <si>
    <t>Telephon Wali</t>
  </si>
  <si>
    <t>Wali  Siswa</t>
  </si>
  <si>
    <t>Alamat</t>
  </si>
  <si>
    <t>Pekerjaan orang Tua</t>
  </si>
  <si>
    <t>Pekerjaan Ibu</t>
  </si>
  <si>
    <t>Dikelas</t>
  </si>
  <si>
    <t>Asal Sekolah</t>
  </si>
  <si>
    <t>Status Dalam Keluarga</t>
  </si>
  <si>
    <t>Tempat, Tanggal Lahir</t>
  </si>
  <si>
    <t>Orang Tua Siswa</t>
  </si>
  <si>
    <t>……………………</t>
  </si>
  <si>
    <t>Pendidikan Jasmani, Olah Raga dan Kesehatan</t>
  </si>
  <si>
    <t>Biologi</t>
  </si>
  <si>
    <t>Anak ke</t>
  </si>
  <si>
    <t>DAFTAR NILAI EKSTRAKURIKULER</t>
  </si>
  <si>
    <t>EKSTRAKURIKULER</t>
  </si>
  <si>
    <t>Ket dalam Kegiatan</t>
  </si>
  <si>
    <t>Ekstrakurikuler</t>
  </si>
  <si>
    <t>Program ini dibuat oleh Y.L. Sunardiono dan Supiansyah,S.Pd dengan beberapa referensi di Internet</t>
  </si>
  <si>
    <t>Mampu menghayati hidup sebagai anugerah dengan amat baik, berperilaku disiplin dengan baik, berkolaborasi dengan amat baik, menunjukkan rasa ingin tahu yang tinggi, mampu berpkir logis dan kritis dengan baik sekali dan mampu berkomunikasi secara empatik dengan baik.</t>
  </si>
  <si>
    <t>Antarmapel</t>
  </si>
  <si>
    <t xml:space="preserve"> Mapel</t>
  </si>
  <si>
    <t xml:space="preserve">DESKRIPSI ANTRAMAPEL KI1+KI2 </t>
  </si>
  <si>
    <t>2014/2015</t>
  </si>
  <si>
    <t>DAFTAR NILAI  ULANGAN AKHIR SEMESTER</t>
  </si>
  <si>
    <t>LAPORAN</t>
  </si>
  <si>
    <t>NAMA PESERTA DIDIK</t>
  </si>
  <si>
    <t>SAMPUL</t>
  </si>
  <si>
    <t>SEKOLAH MENENGAH ATAS</t>
  </si>
  <si>
    <t>(SMA)</t>
  </si>
  <si>
    <t>BACK</t>
  </si>
  <si>
    <r>
      <t xml:space="preserve">Jenis Kertas Yang di gunakan untuk mencetak yaitu jenis kertas </t>
    </r>
    <r>
      <rPr>
        <b/>
        <u/>
        <sz val="11"/>
        <color indexed="8"/>
        <rFont val="Calibri"/>
        <family val="2"/>
      </rPr>
      <t>A4</t>
    </r>
  </si>
  <si>
    <t>Nama Sekolah            :</t>
  </si>
  <si>
    <t>No. Induk / NISN       :</t>
  </si>
  <si>
    <t>Deskripsi</t>
  </si>
  <si>
    <t>Back</t>
  </si>
  <si>
    <t>Guru Pengampu Mata Pelajaran</t>
  </si>
  <si>
    <t>Dikembangkan oleh @DzulfikarAlala [email delapanempat@gmail.com] update 10 Dec 2014</t>
  </si>
  <si>
    <t>Kolom warna kuning tidak boleh dirubah/hapus</t>
  </si>
  <si>
    <t>PETUNJUK PENGGUNAAN</t>
  </si>
  <si>
    <t>1.</t>
  </si>
  <si>
    <t>2.</t>
  </si>
  <si>
    <t>Laporan Capaian Kompetensi ini digunakan selama peserta didik mengikuti pembelajaran di Sekolah Menengah Atas.</t>
  </si>
  <si>
    <t>Apabila peserta didik pindah sekolah, Laporan Capaian Kompetensi dibawa oleh peserta didik yang bersangkutan sebagai bukti pencapaian kompetensi.</t>
  </si>
  <si>
    <t>3.</t>
  </si>
  <si>
    <t xml:space="preserve">Apabila buku Laporan Hasil Belajar peserta didik yang bersangkutan hilang,
dapat diganti dengan buku Laporan Hasil Belajar Pengganti dan diisi dengan
nilai-nilai yang dikutip dari Buku Induk Sekolah asal peserta didik dan
disahkan oleh Kepala Sekolah yang bersangkutan.
</t>
  </si>
  <si>
    <t>4.</t>
  </si>
  <si>
    <t>Buku Laporan Hasil Belajar peserta didik ini harus dilengkapi dengan pas
foto ukuran 3 x 4 cm, dan pengisiannya dilakukan oleh wali kelas.</t>
  </si>
  <si>
    <t>(Sangat Baik)</t>
  </si>
  <si>
    <t>(Baik)</t>
  </si>
  <si>
    <t>(Cukup)</t>
  </si>
  <si>
    <t>(Kurang)</t>
  </si>
  <si>
    <t>Tabel konversi skor dan predikat hasil belajar untuk setiap ranah</t>
  </si>
  <si>
    <t>Modus</t>
  </si>
  <si>
    <t>Skor Rerata</t>
  </si>
  <si>
    <t>Huruf</t>
  </si>
  <si>
    <t>Capaian Optimum</t>
  </si>
  <si>
    <t>SB</t>
  </si>
  <si>
    <t>3,85 – 4,00</t>
  </si>
  <si>
    <t>3,51 – 3,84</t>
  </si>
  <si>
    <t>3,18 – 3,50</t>
  </si>
  <si>
    <t>2,85 – 3,17</t>
  </si>
  <si>
    <t>2,51 – 2,84</t>
  </si>
  <si>
    <t>2,18 – 2,50</t>
  </si>
  <si>
    <t>1,85 – 2,17</t>
  </si>
  <si>
    <t>1,51 – 1,84</t>
  </si>
  <si>
    <t>1,18 – 1,50</t>
  </si>
  <si>
    <t>1,00 – 1,17</t>
  </si>
  <si>
    <t>K</t>
  </si>
  <si>
    <t>SMA NEGERI 4 PADANG</t>
  </si>
  <si>
    <t>2</t>
  </si>
  <si>
    <t>Ekonomi</t>
  </si>
  <si>
    <t xml:space="preserve">LAPORAN </t>
  </si>
  <si>
    <t>CAPAIAN KOMPETENSI PESERTA DIDIK</t>
  </si>
  <si>
    <t>NPSN/NSS</t>
  </si>
  <si>
    <t>Kelurahan</t>
  </si>
  <si>
    <t>Kecamatan</t>
  </si>
  <si>
    <t>Kabupaten/Kota</t>
  </si>
  <si>
    <t>Propinsi</t>
  </si>
  <si>
    <t>Website</t>
  </si>
  <si>
    <t>E-mail</t>
  </si>
  <si>
    <t>:    SMA NEGERI 4 PADANG</t>
  </si>
  <si>
    <t xml:space="preserve">:    </t>
  </si>
  <si>
    <t>:    JALAN LINGGAR JATI NO.1 LUBUK BEGALUNG</t>
  </si>
  <si>
    <t xml:space="preserve">     Kode Pos  25225 Telp 0751 - 27331</t>
  </si>
  <si>
    <t>:    LUBUK BEGALUNG</t>
  </si>
  <si>
    <t>:    PADANG</t>
  </si>
  <si>
    <t>:    SUMATERA  BARAT</t>
  </si>
  <si>
    <t>:    smanempatpadang@yahoo.com</t>
  </si>
  <si>
    <t>:    302286305062/69820649</t>
  </si>
  <si>
    <t>KEMENTRIAN PENDIDIKAN DAN KEBUDAYAAN</t>
  </si>
  <si>
    <t>REPUBLIK INDONESIA</t>
  </si>
  <si>
    <t>NIS/NISN</t>
  </si>
  <si>
    <r>
      <rPr>
        <b/>
        <sz val="11"/>
        <rFont val="Times New Roman"/>
        <family val="1"/>
      </rPr>
      <t>I.  Peminatan</t>
    </r>
    <r>
      <rPr>
        <sz val="11"/>
        <rFont val="Times New Roman"/>
        <family val="1"/>
      </rPr>
      <t xml:space="preserve"> </t>
    </r>
  </si>
  <si>
    <t>Padang, 20  Juni 2015</t>
  </si>
  <si>
    <t>XI MIA 4</t>
  </si>
  <si>
    <t>Dra.Amna Nurdin</t>
  </si>
  <si>
    <t>Lili Yulianti, S.Pd</t>
  </si>
  <si>
    <t>Drs. Alfurqan, M.Pd</t>
  </si>
  <si>
    <t>Darmina, S.Pd</t>
  </si>
  <si>
    <t>Mampu dalam  memahami, menjelaskan, menerapkan, dan menganalisis pengetahuan faktual, konseptual, prosedural yang berkaitan dengan  sistim pencernaan makanan,respirsi, ekskresi,koordinasi, reproduksi dan sistim imun</t>
  </si>
  <si>
    <t>Mampu dalam  memahami, menjelaskan, menerapkan, dan menganalisis pengetahuan faktual, konseptual, prosedural yang berkaitan dengan  sistim pencernaan makanan,koordinasi, reproduksi dan sistim imun</t>
  </si>
  <si>
    <t>Sangat Mampu dalam  memahami, menjelaskan, menerapkan, dan menganalisis pengetahuan faktual, konseptual, prosedural yang berkaitan dengan  sistim pencernaan makanan,respirsi, ekskresi,koordinasi, reproduksi dan sistim imun</t>
  </si>
  <si>
    <t>Terampil  dalam menerapkan konsep yang berkaitan dengan  Sistem pencernaan pada manusia sistem respirasi, sistem ekskresisistem koordinasi, reproduksi pada manusia dan sistem imun</t>
  </si>
  <si>
    <t>Terampil  dalam menerapkan konsep yang berkaitan dengan  sistem respirasi, sistem ekskresisistem koordinasi, reproduksi pada manusia dan sistem imun</t>
  </si>
  <si>
    <t>Konsisten dalam menunjukkan prilaku jujur,disiplin,tanggung jawab,peduli dan  santun dalam kegiatan pembelajaran di dalam kelas</t>
  </si>
  <si>
    <t>Selalu Konsisten dalam menunjukkan prilaku jujur,disiplin,tanggung jawab,peduli dan  santun dalam kegiatan pembelajaran di dalam kelas</t>
  </si>
  <si>
    <t>Selalu Konsisten dalam menunjukkan prilaku jujur,disiplin,tanggung jawab,peduli dan  peduli dan  dalam kegiatan pembelajaran di dalam kelas</t>
  </si>
  <si>
    <t>Konsisten dalam menunjukkan prilaku jujur,disiplin,tanggung jawab,peduli dan  dalam kegiatan pembelajaran di dalam kelas</t>
  </si>
  <si>
    <t xml:space="preserve"> 29 Agustus 1998</t>
  </si>
  <si>
    <t xml:space="preserve"> 24 November 1998</t>
  </si>
  <si>
    <t>18 November 1997</t>
  </si>
  <si>
    <t>14 November 1998</t>
  </si>
  <si>
    <t>18 Mai 1998</t>
  </si>
  <si>
    <t>23 Mai 1998</t>
  </si>
  <si>
    <t xml:space="preserve">Padang </t>
  </si>
  <si>
    <t>Solok</t>
  </si>
  <si>
    <t>Bandar Lampung</t>
  </si>
  <si>
    <t>Lb Basung</t>
  </si>
  <si>
    <t>Payakumbuh</t>
  </si>
  <si>
    <t>Islam</t>
  </si>
  <si>
    <t>Anak Kandung</t>
  </si>
  <si>
    <t>Medan</t>
  </si>
  <si>
    <t>KOMP. TNI-AL. Jl Ikan Paus A 16 Banuaran</t>
  </si>
  <si>
    <t>KOMP. Wisma Utama B/2 Pulau Aia</t>
  </si>
  <si>
    <t>Jl. Seberang Padang</t>
  </si>
  <si>
    <t>Jondul Rawang D No. 18</t>
  </si>
  <si>
    <t>Jl. By Pass No. 15</t>
  </si>
  <si>
    <t>Jl. Kp. Durian no.48 Aur Duri</t>
  </si>
  <si>
    <t>KOMP. Andalas Makmur No. 38</t>
  </si>
  <si>
    <t>Jl. Marapalam Indah III No 14</t>
  </si>
  <si>
    <t>Jl. Raya Indarung RT 02 RW 09 No 34</t>
  </si>
  <si>
    <t>Jl. Rawang Timur Iv No 15</t>
  </si>
  <si>
    <t>Jl Parak Karakah 69 Chikago 54</t>
  </si>
  <si>
    <t>Jl. Jati Bawah Buliuh No 33</t>
  </si>
  <si>
    <t>Jl Rajawali A/4 Pondok Permai Gadut</t>
  </si>
  <si>
    <t>Jl. Raya Padang Indarung simp.Patai no 02</t>
  </si>
  <si>
    <t>Jl. Jihad Gang Syuhada no 117 A</t>
  </si>
  <si>
    <t>Villa Permata Putri Blok Melati 15 Tanah Sirah</t>
  </si>
  <si>
    <t>Perum UNAND Blok D IV/03 no 18 Ulu Gadut</t>
  </si>
  <si>
    <t>Perum Tarok f/24 Kp. Jua Lubeg</t>
  </si>
  <si>
    <t>Jl. Raya Indarung Simp Cubadak RT 01 RW 03</t>
  </si>
  <si>
    <t>Jl. Banjir Kanal No. 17</t>
  </si>
  <si>
    <t>Jl. Duku No. 78 Perumnas 3 Indarung</t>
  </si>
  <si>
    <t>Perum Sumbar Mas Blok C/09</t>
  </si>
  <si>
    <t>Jl. Kampung Tanjung No. 22 B Lubeg</t>
  </si>
  <si>
    <t>Komp. Sinar manis Permai A/8</t>
  </si>
  <si>
    <t>Jl. Rimba Datar No. 26</t>
  </si>
  <si>
    <t>Jl. Soetomo No. 137/C</t>
  </si>
  <si>
    <t>Jl. Gurun Laweh RT 03 RW 01 no.19 Padang</t>
  </si>
  <si>
    <t>Jl. Aur Duri Baru no 27 RT/RW II</t>
  </si>
  <si>
    <t>Jl. Parak Pisang No. 12 A</t>
  </si>
  <si>
    <t>Jl. Dr Soetomo Gg Gadih Rantih no 3</t>
  </si>
  <si>
    <t>Komp. DEPKES B2 no 5 Gadut</t>
  </si>
  <si>
    <t>Komp. Bumi Minang III Blok E/13, Sungai Sapih</t>
  </si>
  <si>
    <t>SMPN 9 Padang</t>
  </si>
  <si>
    <t>SMPN 5 Padang</t>
  </si>
  <si>
    <t>SMPN 24 Padang</t>
  </si>
  <si>
    <t>SMPN 8 Padang</t>
  </si>
  <si>
    <t>MTsN MODEL</t>
  </si>
  <si>
    <t>SMPN 31 Padang</t>
  </si>
  <si>
    <t>SMPN 11 Padang</t>
  </si>
  <si>
    <t>SMPN 20 Padang</t>
  </si>
  <si>
    <t>SMPN 2 Padang</t>
  </si>
  <si>
    <t>SMPN 21 Padang</t>
  </si>
  <si>
    <t>SMPN 30 Padang</t>
  </si>
  <si>
    <t>SMPN 10 Padang</t>
  </si>
  <si>
    <t>SMP Adabiah Padang</t>
  </si>
  <si>
    <t>SMPN 17 Padang</t>
  </si>
  <si>
    <t>X MIA 2</t>
  </si>
  <si>
    <t>X MIA 6</t>
  </si>
  <si>
    <t>X MIA 5</t>
  </si>
  <si>
    <t>X MIA 4</t>
  </si>
  <si>
    <t>X MIA 3</t>
  </si>
  <si>
    <t>Sastra Mulyadi</t>
  </si>
  <si>
    <t>Priyatmoko</t>
  </si>
  <si>
    <t>Alexander</t>
  </si>
  <si>
    <t>Yuliadi</t>
  </si>
  <si>
    <t>Ilham</t>
  </si>
  <si>
    <t>Fahmiadi</t>
  </si>
  <si>
    <t>Saidul S Sos</t>
  </si>
  <si>
    <t>Syamsuardi</t>
  </si>
  <si>
    <t>Nazirman</t>
  </si>
  <si>
    <t>Bismar Ibrahim</t>
  </si>
  <si>
    <t>Hendri Syuib</t>
  </si>
  <si>
    <t>M. Ridallah</t>
  </si>
  <si>
    <t>Thamril Bse</t>
  </si>
  <si>
    <t>Arizal</t>
  </si>
  <si>
    <t>Usman Syarif</t>
  </si>
  <si>
    <t>Waskito Hardy B.sc</t>
  </si>
  <si>
    <t>Ali Amran</t>
  </si>
  <si>
    <t>Mawardi SE</t>
  </si>
  <si>
    <t>Masdi</t>
  </si>
  <si>
    <t>Drs Slamet Sopandi</t>
  </si>
  <si>
    <t>Zirusdinarir</t>
  </si>
  <si>
    <t>Zamzami</t>
  </si>
  <si>
    <t>Zul Bahri</t>
  </si>
  <si>
    <t>Drs. H. Ediwarman</t>
  </si>
  <si>
    <t>Isfan Fachri SE</t>
  </si>
  <si>
    <t>Lim Hok Hoei</t>
  </si>
  <si>
    <t>Yunaidi</t>
  </si>
  <si>
    <t>Aguswandi</t>
  </si>
  <si>
    <t>Salman S.Ag</t>
  </si>
  <si>
    <t>Ali Sardi Bac</t>
  </si>
  <si>
    <t>Masriri S. Sos</t>
  </si>
  <si>
    <t>Zaldi Tasar</t>
  </si>
  <si>
    <t>Melya Fauzana</t>
  </si>
  <si>
    <t>Febriyani Yasin</t>
  </si>
  <si>
    <t>Sovia Susanti</t>
  </si>
  <si>
    <t>Hartini</t>
  </si>
  <si>
    <t>Eni Farida SH MM</t>
  </si>
  <si>
    <t>Fitri Yeni</t>
  </si>
  <si>
    <t>Asneli</t>
  </si>
  <si>
    <t>Rini Yunit</t>
  </si>
  <si>
    <t>Fatimah</t>
  </si>
  <si>
    <t>Fenti Susanti</t>
  </si>
  <si>
    <t>Nani Alfiza</t>
  </si>
  <si>
    <t>Fitri Yanti</t>
  </si>
  <si>
    <t>Kasmalaili S. Pd</t>
  </si>
  <si>
    <t>Nurdiani, S. Pd</t>
  </si>
  <si>
    <t>Enameresti</t>
  </si>
  <si>
    <t>Ir. Yunitasri</t>
  </si>
  <si>
    <t>Jusnida Bachtiar</t>
  </si>
  <si>
    <t>Detti Helmi</t>
  </si>
  <si>
    <t>Nelmi Yenti</t>
  </si>
  <si>
    <t>Willy Yuliana(Almh)</t>
  </si>
  <si>
    <t>Rahmadinawati</t>
  </si>
  <si>
    <t>Rilda Suryani</t>
  </si>
  <si>
    <t>Osmariyanti</t>
  </si>
  <si>
    <t xml:space="preserve">Hj. Yelda </t>
  </si>
  <si>
    <t>drg Rasmadeswita</t>
  </si>
  <si>
    <t>Susilawati</t>
  </si>
  <si>
    <t>Siti Yumiarti Juita</t>
  </si>
  <si>
    <t>Rahmadina</t>
  </si>
  <si>
    <t>Rossa Merry SPd</t>
  </si>
  <si>
    <t>Mahniar</t>
  </si>
  <si>
    <t>Mulya Fitri</t>
  </si>
  <si>
    <t>Nurleli</t>
  </si>
  <si>
    <t>Jl. Dr Soetomo 99 Gadih Rantih no 3</t>
  </si>
  <si>
    <t>TNI AL</t>
  </si>
  <si>
    <t>Pegawai BUMN</t>
  </si>
  <si>
    <t xml:space="preserve"> Wiraswasta</t>
  </si>
  <si>
    <t xml:space="preserve"> PNS KEMENHUB</t>
  </si>
  <si>
    <t>SWASTA</t>
  </si>
  <si>
    <t>Pol PP Sumbar</t>
  </si>
  <si>
    <t>Berdagang</t>
  </si>
  <si>
    <t>Buruh</t>
  </si>
  <si>
    <t>Swasta</t>
  </si>
  <si>
    <t>Peg Telkom</t>
  </si>
  <si>
    <t>Wiraswasta</t>
  </si>
  <si>
    <t>Peg TU SP</t>
  </si>
  <si>
    <t>Purn Polri</t>
  </si>
  <si>
    <t>Hakim</t>
  </si>
  <si>
    <t>PNS</t>
  </si>
  <si>
    <t>Pens Swasta</t>
  </si>
  <si>
    <t>TNI AD</t>
  </si>
  <si>
    <t>Pens Semen Pdg</t>
  </si>
  <si>
    <t>IRT</t>
  </si>
  <si>
    <t>Peg TELKOM</t>
  </si>
  <si>
    <t>Kepsek SMP</t>
  </si>
  <si>
    <t>Guru</t>
  </si>
  <si>
    <t>Honor</t>
  </si>
  <si>
    <t>PNS drg</t>
  </si>
  <si>
    <t>Laki-laki</t>
  </si>
  <si>
    <t>Perempuan</t>
  </si>
  <si>
    <t>Selalu Konsisten dalam menunjukkan prilaku jujur,disiplin,tanggung jawab,peduli dan  dalam kegiatan pembelajaran di dalam kelas</t>
  </si>
  <si>
    <t>Mampu dalam  memahami, menjelaskan, menerapkan, dan menganalisis pengetahuan faktual, konseptual, prosedural yang berkaitan dengan  indeks harga dan inflasikebijakan moneterdan kebijakan fiskalperan pelaku ekonomi dalam sistem perekonomian indonesiapasar modal dalam perekonomian</t>
  </si>
  <si>
    <t>Sangat Mampu dalam  memahami, menjelaskan, menerapkan, dan menganalisis pengetahuan faktual, konseptual, prosedural yang berkaitan dengan  indeks harga dan inflasikebijakan moneterdan kebijakan fiskalperan pelaku ekonomi dalam sistem perekonomian indonesiapasar modal dalam perekonomian</t>
  </si>
  <si>
    <t>Mampu dalam  memahami, menjelaskan, menerapkan, dan menganalisis pengetahuan faktual, konseptual, prosedural yang berkaitan dengan  indeks harga dan inflasiperan pelaku ekonomi dalam sistem perekonomian indonesiapasar modal dalam perekonomian</t>
  </si>
  <si>
    <t>Terampil  dalam menerapkan konsep yang berkaitan dengan  indeks harga dan inflasikebijakan moneterdan kebijakan fiskalperan pelaku ekonomi dalam sistem perekonomian indonesiapasar modal dalam perekonomian</t>
  </si>
  <si>
    <t>Terampil  dalam menerapkan konsep yang berkaitan dengan  kebijakan moneterdan kebijakan fiskalperan pelaku ekonomi dalam sistem perekonomian indonesiapasar modal dalam perekonomian</t>
  </si>
  <si>
    <t>Pramuka</t>
  </si>
  <si>
    <t>Sangat Mampu dalam  memahami, menjelaskan, menerapkan, dan menganalisis pengetahuan faktual, konseptual, prosedural yang berkaitan dengan  konsep asam basa, titrasihidrolisis garam,larutan penyangga,hasil kali kelarutan,</t>
  </si>
  <si>
    <t>Mampu dalam  memahami, menjelaskan, menerapkan, dan menganalisis pengetahuan faktual, konseptual, prosedural yang berkaitan dengan  konsep asam basa, titrasihidrolisis garam,larutan penyangga,hasil kali kelarutan,</t>
  </si>
  <si>
    <t>Mampu dalam  memahami, menjelaskan, menerapkan, dan menganalisis pengetahuan faktual, konseptual, prosedural yang berkaitan dengan  konsep asam basa, titrasilarutan penyangga,hasil kali kelarutan,</t>
  </si>
  <si>
    <t>Terampil  dalam menerapkan konsep yang berkaitan dengan  indikator asam basa,titrasi ,hidrolisis garam,sifat larutan penyangga.</t>
  </si>
  <si>
    <t>Terampil  dalam menerapkan konsep yang berkaitan dengan  titrasi ,hidrolisis garam,sifat larutan penyangga.</t>
  </si>
  <si>
    <t>Selalu Konsisten dalam menunjukkan prilaku jujur,disiplin,tanggung jawab,peduli,santun dan hormat pada guru dalam kegiatan pembelajaran di dalam kelas</t>
  </si>
  <si>
    <t>Konsisten dalam menunjukkan prilaku jujur,disiplin,tanggung jawab,peduli,santun dan hormat pada guru dalam kegiatan pembelajaran di dalam kelas</t>
  </si>
  <si>
    <t>Selalu Konsisten dalam menunjukkan prilaku jujur,disiplin,tanggung jawab,peduli,peduli,dalam kegiatan pembelajaran di dalam kelas</t>
  </si>
  <si>
    <t>Mampu dalam  memahami,  menerapkan, dan menganalisis pengetahuan  yang berkaitan dengan  Memahami desain,Product bahan lunak, mendesain product dan menciptakan peluang usaha</t>
  </si>
  <si>
    <t>Sangat Mampu dalam  memahami,  menerapkan, dan menganalisis pengetahuan  yang berkaitan dengan  Memahami desain,Product bahan lunak, mendesain product dan menciptakan peluang usaha</t>
  </si>
  <si>
    <t>Sangat Mampu dalam  memahami,  menerapkan, dan menganalisis pengetahuan  yang berkaitan dengan  Memahami desain,mendesain product dan menciptakan peluang usaha</t>
  </si>
  <si>
    <t>Mampu dalam  memahami,  menerapkan, dan menganalisis pengetahuan  yang berkaitan dengan  Memahami desain,mendesain product dan menciptakan peluang usaha</t>
  </si>
  <si>
    <t>Terampil  dalam  membuat desain, product bahan lunak,mendesain product dan menciptakan peluang usaha</t>
  </si>
  <si>
    <t>Terampil  dalam  product bahan lunak,mendesain product dan menciptakan peluang usaha</t>
  </si>
  <si>
    <t>Mampu dalam  memahami, menjelaskan, menerapkan, dan menganalisis pengetahuan faktual, konseptual, prosedural yang berkaitan dengan  statistika,Aturan pencacahan,persamaan lingkaran,tranformasi geometri, turunan dan integral</t>
  </si>
  <si>
    <t>Mampu dalam  memahami, menjelaskan, menerapkan, dan menganalisis pengetahuan faktual, konseptual, prosedural yang berkaitan dengan  statistika,persamaan lingkaran,tranformasi geometri, turunan dan integral</t>
  </si>
  <si>
    <t>Sangat Mampu dalam  memahami, menjelaskan, menerapkan, dan menganalisis pengetahuan faktual, konseptual, prosedural yang berkaitan dengan  statistika,Aturan pencacahan,persamaan lingkaran,tranformasi geometri, turunan dan integral</t>
  </si>
  <si>
    <t>Terampil  dalam menerapkan konsep yang berkaitan dengan  statistika,Aturan pencacahan,persamaan lingkaran,tranformasi geometri, turunan dan integral</t>
  </si>
  <si>
    <t>Terampil  dalam menerapkan konsep yang berkaitan dengan  Aturan pencacahan,persamaan lingkaran,tranformasi geometri, turunan dan integral</t>
  </si>
  <si>
    <t xml:space="preserve">Konsistendalam kegiatan pembelajaran di dalam kelasdisiplin,tanggung jawab,peduli dan  santun </t>
  </si>
  <si>
    <t>Mampu dalam  memahami, menjelaskan, menerapkan, dan menganalisis pengetahuan faktual, konseptual, prosedural yang berkaitan dengan  Teks EksplanasiTeks UlasanTeks sebagai Media</t>
  </si>
  <si>
    <t>Mampu dalam  memahami, menjelaskan, menerapkan, dan menganalisis pengetahuan faktual, konseptual, prosedural yang berkaitan dengan  Teks EksplanasiTeks sebagai Media</t>
  </si>
  <si>
    <t>Konsisten dalam menunjukkan prilaku jujur,disiplin,tanggung jawab,peduli dan  peduli dan  dalam kegiatan pembelajaran di dalam kelas</t>
  </si>
  <si>
    <t>Mampu dalam  memahami, menjelaskan, menerapkan, dan menganalisis pengetahuan faktual, konseptual, prosedural yang berkaitan dengan  conitional &amp; reportpassive &amp; biograpgyanalitical &amp; song</t>
  </si>
  <si>
    <t>Cukup Mampu dalam  memahami, menjelaskan, menerapkan, dan menganalisis pengetahuan faktual, konseptual, prosedural yang berkaitan dengan  conitional &amp; reportpassive &amp; biograpgyanalitical &amp; song</t>
  </si>
  <si>
    <t>Sangat Mampu dalam  memahami, menjelaskan, menerapkan, dan menganalisis pengetahuan faktual, konseptual, prosedural yang berkaitan dengan  conitional &amp; reportpassive &amp; biograpgyanalitical &amp; song</t>
  </si>
  <si>
    <t>Mampu dalam  memahami, menjelaskan, menerapkan, dan menganalisis pengetahuan faktual, konseptual, prosedural yang berkaitan dengan  conitional &amp; reportanalitical &amp; song</t>
  </si>
  <si>
    <t>Kurang Mampu dalam  memahami, menjelaskan, menerapkan, dan menganalisis pengetahuan faktual, konseptual, prosedural yang berkaitan dengan  conitional &amp; reportpassive &amp; biograpgyanalitical &amp; song</t>
  </si>
  <si>
    <t>Terampil  dalam menerapkan konsep yang berkaitan dengan  contional, reportbiography, song,analitical exposition</t>
  </si>
  <si>
    <t>Terampil  dalam menerapkan konsep yang berkaitan dengan  biography, song,analitical exposition</t>
  </si>
  <si>
    <t xml:space="preserve">Mampu dalam  memahami, menjelaskan, menerapkan, dan menganalisis pengetahuan faktual, konseptual, prosedural yang berkaitan dengan  Dinamika gerak rotasi dan kesetimbang,Dinamika fluida ,Gas ideal ,Global warming, dan gelombang  </t>
  </si>
  <si>
    <t xml:space="preserve">Mampu dalam  memahami, menjelaskan, menerapkan, dan menganalisis pengetahuan faktual, konseptual, prosedural yang berkaitan dengan  Dinamika gerak rotasi dan kesetimbang,Gas ideal ,Global warming, dan gelombang  </t>
  </si>
  <si>
    <t xml:space="preserve">Sangat Mampu dalam  memahami, menjelaskan, menerapkan, dan menganalisis pengetahuan faktual, konseptual, prosedural yang berkaitan dengan  Dinamika gerak rotasi dan kesetimbang,Dinamika fluida ,Gas ideal ,Global warming, dan gelombang  </t>
  </si>
  <si>
    <t>Terampil  dalam menerapkan konsep yang berkaitan dengan  Elastisitas,Fluida Statis,Suhu Kalor dan Alat Optik</t>
  </si>
  <si>
    <t>Terampil  dalam menerapkan konsep yang berkaitan dengan  Fluida Statis,Suhu Kalor dan Alat Optik</t>
  </si>
  <si>
    <t xml:space="preserve">KonsistenDeskripsijujur,disiplin,tanggung jawab,peduli dan   dalam menunjukkan prilaku </t>
  </si>
  <si>
    <t>Mampu dalam  memahami, menjelaskan, menerapkan, dan menganalisis pengetahuan faktual, konseptual, prosedural yang berkaitan dengan  fungsi trigometri, nilai limit aljabar, fungsi trigonometri untuk memecahkan masalah, dan menentukan titik stasioner</t>
  </si>
  <si>
    <t>Mampu dalam  memahami, menjelaskan, menerapkan, dan menganalisis pengetahuan faktual, konseptual, prosedural yang berkaitan dengan  fungsi trigometri, nilai limit aljabar,  dan menentukan titik stasioner</t>
  </si>
  <si>
    <t>Sangat Mampu dalam  memahami, menjelaskan, menerapkan, dan menganalisis pengetahuan faktual, konseptual, prosedural yang berkaitan dengan  fungsi trigometri, nilai limit aljabar, fungsi trigonometri untuk memecahkan masalah, dan menentukan titik stasioner</t>
  </si>
  <si>
    <t>Terampil  dalam menerapkan konsep yang berkaitan dengan  fungsi trigometri, nilai limit aljabar, fungsi trigonometri untuk memecahkan masalah, dan menentukan titik stasioner</t>
  </si>
  <si>
    <t>Terampil  dalam menerapkan konsep yang berkaitan dengan  fungsi trigonometri untuk memecahkan masalah, dan menentukan titik stasioner</t>
  </si>
  <si>
    <t>Sangat Mampu dalam  memahami, menjelaskan, menerapkan, dan menganalisis pengetahuan faktual, konseptual, prosedural yang berkaitan dengan  bola voli, bola basket, atletik (lompat jauh)renang</t>
  </si>
  <si>
    <t>Mampu dalam  memahami, menjelaskan, menerapkan, dan menganalisis pengetahuan faktual, konseptual, prosedural yang berkaitan dengan  bola voli, bola basket, atletik (lompat jauh)renang</t>
  </si>
  <si>
    <t>Mampu dalam  memahami, menjelaskan, menerapkan, dan menganalisis pengetahuan faktual, konseptual, prosedural yang berkaitan dengan  bola voli, atletik (lompat jauh)renang</t>
  </si>
  <si>
    <t xml:space="preserve">Terampil  dalam menerapkan konsep yang berkaitan dengan  bola voli, bola basket, atletik (lompat jauh),renang, </t>
  </si>
  <si>
    <t xml:space="preserve">Terampil  dalam menerapkan konsep yang berkaitan dengan  bola basket, atletik (lompat jauh),renang, </t>
  </si>
  <si>
    <t xml:space="preserve">Konsistentanggung jawab,peduli dan  santun </t>
  </si>
  <si>
    <t xml:space="preserve">Terampil  dalam menerapkan konsep yang berkaitan dengan  hak dan pengingkaran kewajiban, integrasi Nasional, dan teori geopolitik </t>
  </si>
  <si>
    <t xml:space="preserve">Terampil  dalam menerapkan konsep yang berkaitan dengan  integrasi Nasional, dan teori geopolitik </t>
  </si>
  <si>
    <t>Mampu mendeskripsikan dan menganalisisKedatangan Bangsa Jepang ke Indonesia,  Peristiwa  Proklamasi Kemerdekaan Indonesia, Pembentukan pemerintahan pertama  RI ,   Mempertahankan kemerdekaan Indonesia dan perjuangan diplomasi.</t>
  </si>
  <si>
    <t>Sangat Mampu mendeskripsikan dan menganalisisKedatangan Bangsa Jepang ke Indonesia,  Peristiwa  Proklamasi Kemerdekaan Indonesia, Pembentukan pemerintahan pertama  RI ,   Mempertahankan kemerdekaan Indonesia dan perjuangan diplomasi.</t>
  </si>
  <si>
    <t>Mampu mendeskripsikan dan menganalisisKedatangan Bangsa Jepang ke Indonesia,  Pembentukan pemerintahan pertama  RI ,   Mempertahankan kemerdekaan Indonesia dan perjuangan diplomasi.</t>
  </si>
  <si>
    <t xml:space="preserve">Terampil dalam mengidentifikasikan Kedatangan Bangsa Jepang ke Indonesia,  Peristiwa  Proklamasi Kemerdekaan Indonesia, Pembentukan pemerintahan pertama  RI ,   Mempertahankan kemerdekaan Indonesia,  </t>
  </si>
  <si>
    <t xml:space="preserve">Terampil dalam mengidentifikasikan Peristiwa  Proklamasi Kemerdekaan Indonesia, Pembentukan pemerintahan pertama  RI ,   Mempertahankan kemerdekaan Indonesia,  </t>
  </si>
  <si>
    <t xml:space="preserve">Mampu dalam  memahami, menjelaskan, menerapkan, dan menganalisis pengetahuan faktual, konseptual, prosedural yang berkaitan dengan  menampilkan musik kelompok atau paduan suaramembuat tulisan tentang karya karya musik dan penciptamenampilkan teater hasil karya sendiri sesuai naskah membuat   kritik teater mengenai simbol jenis nilai estetis dan fungsinya  </t>
  </si>
  <si>
    <t xml:space="preserve">Mampu dalam  memahami, menjelaskan, menerapkan, dan menganalisis pengetahuan faktual, konseptual, prosedural yang berkaitan dengan  menampilkan musik kelompok atau paduan suaramenampilkan teater hasil karya sendiri sesuai naskah membuat   kritik teater mengenai simbol jenis nilai estetis dan fungsinya  </t>
  </si>
  <si>
    <t xml:space="preserve">Sangat Mampu dalam  memahami, menjelaskan, menerapkan, dan menganalisis pengetahuan faktual, konseptual, prosedural yang berkaitan dengan  menampilkan musik kelompok atau paduan suaramembuat tulisan tentang karya karya musik dan penciptamenampilkan teater hasil karya sendiri sesuai naskah membuat   kritik teater mengenai simbol jenis nilai estetis dan fungsinya  </t>
  </si>
  <si>
    <t>13 Juli 2013</t>
  </si>
  <si>
    <t>Terampil  dalam menerapkan konsep yang berkaitan dengan  Teks EksplanasiTeks UlasanTeks sebagai Media</t>
  </si>
  <si>
    <t>Terampil  dalam menerapkan konsep yang berkaitan dengan  Teks UlasanTeks sebagai Media</t>
  </si>
  <si>
    <t xml:space="preserve">Terampil  dalam menerapkan konsep yang berkaitan dengan  menampilkan musik kelompok atau paduan suara, membuat tulisan tentang karya karya musik dan pencipta, menampilkan teater hasil karya sendiri sesuai naskah,  membuat   kritik teater mengenai simbol jenis nilai estetis dan fungsinya  </t>
  </si>
  <si>
    <t xml:space="preserve">Terampil  dalam menerapkan konsep yang berkaitan dengan  membuat tulisan tentang karya karya musik dan pencipta, menampilkan teater hasil karya sendiri sesuai naskah,  membuat   kritik teater mengenai simbol jenis nilai estetis dan fungsinya  </t>
  </si>
  <si>
    <t xml:space="preserve">Sangat Terampil  dalam menerapkan konsep yang berkaitan dengan  menampilkan musik kelompok atau paduan suara, membuat tulisan tentang karya karya musik dan pencipta, menampilkan teater hasil karya sendiri sesuai naskah,  membuat   kritik teater mengenai simbol jenis nilai estetis dan fungsinya  </t>
  </si>
  <si>
    <t>Baik, aktif dalam kegiatan rutin</t>
  </si>
  <si>
    <t>Seni Tari</t>
  </si>
  <si>
    <t>English CLUB</t>
  </si>
  <si>
    <t>Basker</t>
  </si>
  <si>
    <t>Olym Matematika</t>
  </si>
  <si>
    <t>Nasyid</t>
  </si>
  <si>
    <t>Seni Teater</t>
  </si>
  <si>
    <t>Paskibra/Pasus</t>
  </si>
  <si>
    <t>PMR</t>
  </si>
  <si>
    <t>Sangat Baik, aktif dalam dalam kegiatan rutin</t>
  </si>
  <si>
    <t xml:space="preserve"> Baik, aktif dalam dalam kegiatan rutin</t>
  </si>
  <si>
    <t>Jl. Linggar Jati no.1 Lubuk Begalung</t>
  </si>
  <si>
    <t>Tinggal di Kelas  :</t>
  </si>
  <si>
    <r>
      <t xml:space="preserve">Naik Ke Kelas    :  </t>
    </r>
    <r>
      <rPr>
        <b/>
        <sz val="11"/>
        <rFont val="Times New Roman"/>
        <family val="1"/>
      </rPr>
      <t>XII   ( Dua belas)</t>
    </r>
  </si>
  <si>
    <t>0-100</t>
  </si>
  <si>
    <t>9986980442</t>
  </si>
  <si>
    <t>Aditya Taufik Sastra</t>
  </si>
  <si>
    <t>9982907972</t>
  </si>
  <si>
    <t>Angger Ghufron Pangestu</t>
  </si>
  <si>
    <t>9983601594</t>
  </si>
  <si>
    <t>Anjellia Novia Safitri</t>
  </si>
  <si>
    <t>9989091797</t>
  </si>
  <si>
    <t>Azis Fahrozi</t>
  </si>
  <si>
    <t>9989983501</t>
  </si>
  <si>
    <t>Berliana Monica</t>
  </si>
  <si>
    <t>9970817548</t>
  </si>
  <si>
    <t>Defri Nofriadi</t>
  </si>
  <si>
    <t>9980817555</t>
  </si>
  <si>
    <t>Dina Mardana Dulas</t>
  </si>
  <si>
    <t>9980817812</t>
  </si>
  <si>
    <t>Famella Putriadi</t>
  </si>
  <si>
    <t>9986349049</t>
  </si>
  <si>
    <t>Febrawati Fajlynd</t>
  </si>
  <si>
    <t>9980673410</t>
  </si>
  <si>
    <t>Fierro Perdana Ibrahim</t>
  </si>
  <si>
    <t>9980817833</t>
  </si>
  <si>
    <t>Jihan Salsabilla</t>
  </si>
  <si>
    <t>9980065874</t>
  </si>
  <si>
    <t>Karina Safira Rannas</t>
  </si>
  <si>
    <t>9970816998</t>
  </si>
  <si>
    <t>Loura Oktaviola</t>
  </si>
  <si>
    <t>9982095456</t>
  </si>
  <si>
    <t>Lauren Dwina Arini</t>
  </si>
  <si>
    <t>9980817839</t>
  </si>
  <si>
    <t>Leoni Syagna Velia</t>
  </si>
  <si>
    <t>9982885002</t>
  </si>
  <si>
    <t>Mia Larisa Waskito</t>
  </si>
  <si>
    <t>9983996707</t>
  </si>
  <si>
    <t>Muhammad Fadel</t>
  </si>
  <si>
    <t>9981328630</t>
  </si>
  <si>
    <t>Muhammad Ilham Fajri</t>
  </si>
  <si>
    <t>9980830799</t>
  </si>
  <si>
    <t>Muhammad Irfan</t>
  </si>
  <si>
    <t>9981704177</t>
  </si>
  <si>
    <t>Naura Cantika</t>
  </si>
  <si>
    <t>9980810523</t>
  </si>
  <si>
    <t>Nurul Putri Salsabila</t>
  </si>
  <si>
    <t>9998982066</t>
  </si>
  <si>
    <t>Rafi Fikriya Riza</t>
  </si>
  <si>
    <t>9985967994</t>
  </si>
  <si>
    <t>Restu Tria Bahri</t>
  </si>
  <si>
    <t>9980799351</t>
  </si>
  <si>
    <t>Rifka Esofita</t>
  </si>
  <si>
    <t>9982095495</t>
  </si>
  <si>
    <t>Rifo Ranofan</t>
  </si>
  <si>
    <t>9985858026</t>
  </si>
  <si>
    <t>Stephany Widyanti</t>
  </si>
  <si>
    <t>9980818512</t>
  </si>
  <si>
    <t>Tiara Yulianti</t>
  </si>
  <si>
    <t>9982393794</t>
  </si>
  <si>
    <t>Tika Wandira</t>
  </si>
  <si>
    <t>9980818720</t>
  </si>
  <si>
    <t>Ulfa Febriyani</t>
  </si>
  <si>
    <t>9990756408</t>
  </si>
  <si>
    <t>Valdy Filando Sardi</t>
  </si>
  <si>
    <t>9980816670</t>
  </si>
  <si>
    <t>Vonny Maitaveri</t>
  </si>
  <si>
    <t>9982889268</t>
  </si>
  <si>
    <t>Wahyu Yolanda</t>
  </si>
  <si>
    <t xml:space="preserve">Semester          :  </t>
  </si>
  <si>
    <t>Kelas               :</t>
  </si>
  <si>
    <t xml:space="preserve">Nama Peserta Didik     :  </t>
  </si>
  <si>
    <t>Alamat                        :</t>
  </si>
  <si>
    <t>No. Induk / NISN        :</t>
  </si>
  <si>
    <t>Nama Sekolah             :</t>
  </si>
  <si>
    <t>Tahun Pelajaran:</t>
  </si>
  <si>
    <t xml:space="preserve">Sangat Mampu dalam  memahami, menjelaskan, menerapkan, dan menganalisis pengetahuan faktual, konseptual, prosedural yang berkaitan dengan  hak dan pengingkaran kewajiban, integrasi nasional, dan teori geopolitik </t>
  </si>
  <si>
    <t>Selalu konsisten dalam menunjukkan prilaku jujur,disiplin,tanggung jawab,peduli dan  santun dalam kegiatan pembelajaran di dalam kelas</t>
  </si>
  <si>
    <t>Terampil  dalam menerapkan konsep yang berkaitan dengan  membaca Al-Qur'an sesuai hukum tajwid  mempresentasikan hafalan ayat</t>
  </si>
  <si>
    <t>Selalu konsisten dalam menunjukkan perilaku jujur, disiplin, tanggung jawab, peduli dan  santun dalam kegiatan pembelajaran di dalam kelas</t>
  </si>
  <si>
    <t>Sangat mampu dalam  memahami, menjelaskan, menerapkan, dan menganalisis pengetahuan faktual, konseptual, prosedural yang berkaitan dengan  Al-Qur'an, Iman kepada Rasul Akhlak kepada orang tua dan guru, ekonomi Islam</t>
  </si>
  <si>
    <t>ABINUL HAKIM, S.Pd, M.Si</t>
  </si>
  <si>
    <t>Nip. 196904091994011001</t>
  </si>
  <si>
    <t>Dra.NENG MULYETTI</t>
  </si>
  <si>
    <t>Ni Wayan Parmiti, S. Pd</t>
  </si>
  <si>
    <t>Dra. Erdawati</t>
  </si>
  <si>
    <t>Ismanilda, S.Pd</t>
  </si>
  <si>
    <t>Zirfan Efendi, S.Pd</t>
  </si>
  <si>
    <t>Dra. Ernawati</t>
  </si>
  <si>
    <t>Dra. Edvirianis</t>
  </si>
  <si>
    <t>Dra. Neng Mulyetti</t>
  </si>
  <si>
    <t>Drs. Asrul Rivai, MM</t>
  </si>
  <si>
    <t>Hudzaifah, S.Pd, MM</t>
  </si>
  <si>
    <t>Ernella, S.Pd</t>
  </si>
  <si>
    <t>Nip. 196409181989032003</t>
  </si>
  <si>
    <t xml:space="preserve">Nama Peserta Didik   :  </t>
  </si>
  <si>
    <t>Alamat                       :</t>
  </si>
  <si>
    <t>Semester 1 dan 2, Peserta didik ditetapkan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</si>
</sst>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1" formatCode="_(* #,##0_);_(* \(#,##0\);_(* &quot;-&quot;_);_(@_)"/>
    <numFmt numFmtId="43" formatCode="_(* #,##0.00_);_(* \(#,##0.00\);_(* &quot;-&quot;??_);_(@_)"/>
    <numFmt numFmtId="164" formatCode="_ * #,##0_ ;_ * \-#,##0_ ;_ * &quot;-&quot;_ ;_ @_ "/>
    <numFmt numFmtId="165" formatCode="d\-mmm\-yyyy;@"/>
    <numFmt numFmtId="166" formatCode="[$-421]dd\ mmmm\ yyyy;@"/>
    <numFmt numFmtId="167" formatCode="dd\ mmmm\ yyyy"/>
  </numFmts>
  <fonts count="113">
    <font>
      <sz val="11"/>
      <color theme="1"/>
      <name val="Calibri"/>
      <family val="2"/>
      <charset val="1"/>
      <scheme val="minor"/>
    </font>
    <font>
      <b/>
      <sz val="10"/>
      <name val="Arial"/>
      <family val="2"/>
    </font>
    <font>
      <b/>
      <sz val="12"/>
      <color indexed="10"/>
      <name val="Arial"/>
      <family val="2"/>
    </font>
    <font>
      <b/>
      <sz val="11"/>
      <name val="Arial"/>
      <family val="2"/>
    </font>
    <font>
      <b/>
      <sz val="10"/>
      <color indexed="9"/>
      <name val="Arial"/>
      <family val="2"/>
    </font>
    <font>
      <b/>
      <sz val="11"/>
      <color indexed="9"/>
      <name val="Arial"/>
      <family val="2"/>
    </font>
    <font>
      <u/>
      <sz val="10"/>
      <color indexed="12"/>
      <name val="Arial"/>
      <family val="2"/>
    </font>
    <font>
      <sz val="8"/>
      <name val="Arial Narrow"/>
      <family val="2"/>
    </font>
    <font>
      <sz val="12"/>
      <name val="Arial Narrow"/>
      <family val="2"/>
    </font>
    <font>
      <sz val="10"/>
      <name val="Arial Narrow"/>
      <family val="2"/>
    </font>
    <font>
      <sz val="11"/>
      <name val="Arial Narrow"/>
      <family val="2"/>
    </font>
    <font>
      <b/>
      <sz val="11"/>
      <name val="Arial Narrow"/>
      <family val="2"/>
    </font>
    <font>
      <sz val="11"/>
      <color indexed="8"/>
      <name val="Arial Narrow"/>
      <family val="2"/>
    </font>
    <font>
      <b/>
      <sz val="10"/>
      <name val="Arial Narrow"/>
      <family val="2"/>
    </font>
    <font>
      <sz val="10"/>
      <color indexed="9"/>
      <name val="Arial"/>
      <family val="2"/>
    </font>
    <font>
      <sz val="11"/>
      <name val="Arial"/>
      <family val="2"/>
    </font>
    <font>
      <b/>
      <sz val="10"/>
      <color indexed="12"/>
      <name val="Arial"/>
      <family val="2"/>
    </font>
    <font>
      <sz val="10"/>
      <name val="Arial"/>
      <family val="2"/>
    </font>
    <font>
      <sz val="12"/>
      <name val="Times New Roman"/>
      <family val="1"/>
    </font>
    <font>
      <sz val="11"/>
      <color indexed="12"/>
      <name val="Arial"/>
      <family val="2"/>
    </font>
    <font>
      <sz val="11"/>
      <color indexed="8"/>
      <name val="Arial"/>
      <family val="2"/>
    </font>
    <font>
      <b/>
      <sz val="12"/>
      <color indexed="8"/>
      <name val="Arial"/>
      <family val="2"/>
    </font>
    <font>
      <sz val="11"/>
      <color indexed="10"/>
      <name val="Arial"/>
      <family val="2"/>
    </font>
    <font>
      <b/>
      <sz val="12"/>
      <name val="Arial"/>
      <family val="2"/>
    </font>
    <font>
      <sz val="12"/>
      <name val="Arial"/>
      <family val="2"/>
    </font>
    <font>
      <sz val="10"/>
      <name val="Times New Roman"/>
      <family val="1"/>
    </font>
    <font>
      <b/>
      <u/>
      <sz val="11"/>
      <color indexed="8"/>
      <name val="Calibri"/>
      <family val="2"/>
    </font>
    <font>
      <b/>
      <sz val="18"/>
      <color indexed="9"/>
      <name val="Arial"/>
      <family val="2"/>
    </font>
    <font>
      <b/>
      <sz val="11"/>
      <color indexed="8"/>
      <name val="Arial Narrow"/>
      <family val="2"/>
    </font>
    <font>
      <sz val="10"/>
      <color indexed="8"/>
      <name val="Arial Narrow"/>
      <family val="2"/>
    </font>
    <font>
      <sz val="12"/>
      <color indexed="8"/>
      <name val="Arial Narrow"/>
      <family val="2"/>
    </font>
    <font>
      <b/>
      <sz val="14"/>
      <name val="Arial Narrow"/>
      <family val="2"/>
    </font>
    <font>
      <sz val="14"/>
      <name val="Arial Narrow"/>
      <family val="2"/>
    </font>
    <font>
      <b/>
      <sz val="14"/>
      <name val="Times New Roman"/>
      <family val="1"/>
    </font>
    <font>
      <sz val="14"/>
      <name val="Times New Roman"/>
      <family val="1"/>
    </font>
    <font>
      <b/>
      <sz val="11"/>
      <name val="Times New Roman"/>
      <family val="1"/>
    </font>
    <font>
      <sz val="11"/>
      <name val="Times New Roman"/>
      <family val="1"/>
    </font>
    <font>
      <sz val="9"/>
      <name val="Times New Roman"/>
      <family val="1"/>
    </font>
    <font>
      <b/>
      <sz val="10"/>
      <name val="Times New Roman"/>
      <family val="1"/>
    </font>
    <font>
      <b/>
      <sz val="11"/>
      <color indexed="60"/>
      <name val="Times New Roman"/>
      <family val="1"/>
    </font>
    <font>
      <b/>
      <sz val="10"/>
      <color indexed="60"/>
      <name val="Times New Roman"/>
      <family val="1"/>
    </font>
    <font>
      <sz val="11"/>
      <color indexed="8"/>
      <name val="Times New Roman"/>
      <family val="1"/>
    </font>
    <font>
      <b/>
      <sz val="14"/>
      <color indexed="12"/>
      <name val="Arial"/>
      <family val="2"/>
    </font>
    <font>
      <b/>
      <sz val="14"/>
      <name val="Arial"/>
      <family val="2"/>
    </font>
    <font>
      <b/>
      <sz val="16"/>
      <name val="Arial"/>
      <family val="2"/>
    </font>
    <font>
      <b/>
      <sz val="8"/>
      <name val="Times New Roman"/>
      <family val="1"/>
    </font>
    <font>
      <b/>
      <sz val="12"/>
      <color indexed="8"/>
      <name val="Calibri"/>
      <family val="2"/>
      <charset val="1"/>
    </font>
    <font>
      <sz val="11"/>
      <name val="Calibri"/>
      <family val="2"/>
    </font>
    <font>
      <b/>
      <sz val="9"/>
      <name val="Times New Roman"/>
      <family val="1"/>
    </font>
    <font>
      <sz val="11"/>
      <color theme="0"/>
      <name val="Calibri"/>
      <family val="2"/>
      <charset val="1"/>
      <scheme val="minor"/>
    </font>
    <font>
      <sz val="11"/>
      <color rgb="FFFF0000"/>
      <name val="Calibri"/>
      <family val="2"/>
      <charset val="1"/>
      <scheme val="minor"/>
    </font>
    <font>
      <b/>
      <sz val="12"/>
      <color rgb="FFFF0000"/>
      <name val="Calibri"/>
      <family val="2"/>
      <scheme val="minor"/>
    </font>
    <font>
      <sz val="11"/>
      <color rgb="FFFF0000"/>
      <name val="Calibri"/>
      <family val="2"/>
      <scheme val="minor"/>
    </font>
    <font>
      <sz val="14"/>
      <color theme="1"/>
      <name val="Calibri"/>
      <family val="2"/>
      <scheme val="minor"/>
    </font>
    <font>
      <b/>
      <sz val="10"/>
      <color rgb="FF002060"/>
      <name val="Arial"/>
      <family val="2"/>
    </font>
    <font>
      <b/>
      <sz val="16"/>
      <color theme="1"/>
      <name val="Calibri"/>
      <family val="2"/>
      <scheme val="minor"/>
    </font>
    <font>
      <sz val="14"/>
      <color theme="1"/>
      <name val="Times New Roman"/>
      <family val="1"/>
    </font>
    <font>
      <b/>
      <sz val="11"/>
      <color theme="1"/>
      <name val="Calibri"/>
      <family val="2"/>
      <scheme val="minor"/>
    </font>
    <font>
      <b/>
      <sz val="11"/>
      <color rgb="FFFF0000"/>
      <name val="Arial"/>
      <family val="2"/>
    </font>
    <font>
      <b/>
      <sz val="14"/>
      <color rgb="FF0070C0"/>
      <name val="Calibri"/>
      <family val="2"/>
      <scheme val="minor"/>
    </font>
    <font>
      <sz val="10"/>
      <color theme="1"/>
      <name val="Calibri"/>
      <family val="2"/>
      <scheme val="minor"/>
    </font>
    <font>
      <b/>
      <sz val="11"/>
      <color theme="0"/>
      <name val="Calibri"/>
      <family val="2"/>
      <scheme val="minor"/>
    </font>
    <font>
      <b/>
      <sz val="10"/>
      <color theme="0"/>
      <name val="Arial"/>
      <family val="2"/>
    </font>
    <font>
      <b/>
      <sz val="10"/>
      <color theme="1"/>
      <name val="Arial"/>
      <family val="2"/>
    </font>
    <font>
      <sz val="12"/>
      <color theme="1"/>
      <name val="Calibri"/>
      <family val="2"/>
      <charset val="1"/>
      <scheme val="minor"/>
    </font>
    <font>
      <sz val="11"/>
      <color rgb="FFFFFF00"/>
      <name val="Calibri"/>
      <family val="2"/>
      <charset val="1"/>
      <scheme val="minor"/>
    </font>
    <font>
      <sz val="11"/>
      <color theme="0"/>
      <name val="Times New Roman"/>
      <family val="1"/>
    </font>
    <font>
      <b/>
      <sz val="11"/>
      <color theme="1"/>
      <name val="Times New Roman"/>
      <family val="1"/>
    </font>
    <font>
      <b/>
      <sz val="11"/>
      <color rgb="FFFF0000"/>
      <name val="Times New Roman"/>
      <family val="1"/>
    </font>
    <font>
      <b/>
      <sz val="10"/>
      <color theme="1" tint="4.9989318521683403E-2"/>
      <name val="Arial"/>
      <family val="2"/>
    </font>
    <font>
      <sz val="8"/>
      <color theme="1"/>
      <name val="Calibri"/>
      <family val="2"/>
      <charset val="1"/>
      <scheme val="minor"/>
    </font>
    <font>
      <sz val="11"/>
      <color theme="1"/>
      <name val="Calibri"/>
      <family val="2"/>
    </font>
    <font>
      <sz val="8"/>
      <name val="Calibri"/>
      <family val="2"/>
      <scheme val="minor"/>
    </font>
    <font>
      <sz val="11"/>
      <color theme="1"/>
      <name val="Arial Narrow"/>
      <family val="2"/>
    </font>
    <font>
      <b/>
      <sz val="12"/>
      <color theme="1"/>
      <name val="Calibri"/>
      <family val="2"/>
      <scheme val="minor"/>
    </font>
    <font>
      <sz val="10"/>
      <color indexed="8"/>
      <name val="Calibri"/>
      <family val="2"/>
      <scheme val="minor"/>
    </font>
    <font>
      <b/>
      <sz val="16"/>
      <color rgb="FFC00000"/>
      <name val="Times New Roman"/>
      <family val="1"/>
    </font>
    <font>
      <b/>
      <sz val="12"/>
      <color rgb="FFFFFF00"/>
      <name val="Arial"/>
      <family val="2"/>
    </font>
    <font>
      <b/>
      <sz val="12"/>
      <color theme="1"/>
      <name val="Arial"/>
      <family val="2"/>
    </font>
    <font>
      <b/>
      <sz val="14"/>
      <color theme="1"/>
      <name val="Calibri"/>
      <family val="2"/>
      <scheme val="minor"/>
    </font>
    <font>
      <b/>
      <sz val="14"/>
      <color indexed="12"/>
      <name val="Calibri"/>
      <family val="2"/>
      <scheme val="minor"/>
    </font>
    <font>
      <b/>
      <sz val="18"/>
      <color theme="1"/>
      <name val="Calibri"/>
      <family val="2"/>
      <scheme val="minor"/>
    </font>
    <font>
      <b/>
      <sz val="16"/>
      <color theme="1"/>
      <name val="Arial"/>
      <family val="2"/>
    </font>
    <font>
      <sz val="9"/>
      <color indexed="81"/>
      <name val="Tahoma"/>
      <family val="2"/>
    </font>
    <font>
      <b/>
      <sz val="9"/>
      <color indexed="81"/>
      <name val="Tahoma"/>
      <family val="2"/>
    </font>
    <font>
      <i/>
      <sz val="10"/>
      <color theme="1"/>
      <name val="Calibri"/>
      <family val="2"/>
      <scheme val="minor"/>
    </font>
    <font>
      <sz val="12"/>
      <color theme="1"/>
      <name val="Calibri"/>
      <family val="2"/>
      <scheme val="minor"/>
    </font>
    <font>
      <b/>
      <sz val="10"/>
      <name val="Tahoma"/>
      <family val="2"/>
    </font>
    <font>
      <sz val="11"/>
      <name val="Calibri"/>
      <family val="2"/>
      <charset val="134"/>
    </font>
    <font>
      <sz val="18"/>
      <color rgb="FF002060"/>
      <name val="Arial Black"/>
      <family val="2"/>
    </font>
    <font>
      <sz val="14"/>
      <color rgb="FF002060"/>
      <name val="Times New Roman"/>
      <family val="1"/>
    </font>
    <font>
      <b/>
      <sz val="14"/>
      <color rgb="FF002060"/>
      <name val="Times New Roman"/>
      <family val="1"/>
    </font>
    <font>
      <sz val="18"/>
      <name val="Arial Black"/>
      <family val="2"/>
    </font>
    <font>
      <sz val="11"/>
      <name val="Calibri"/>
      <family val="2"/>
      <charset val="1"/>
      <scheme val="minor"/>
    </font>
    <font>
      <b/>
      <sz val="26"/>
      <name val="Calibri"/>
      <family val="2"/>
      <scheme val="minor"/>
    </font>
    <font>
      <b/>
      <sz val="22"/>
      <name val="Calibri"/>
      <family val="2"/>
      <scheme val="minor"/>
    </font>
    <font>
      <b/>
      <sz val="11"/>
      <name val="Arial Black"/>
      <family val="2"/>
    </font>
    <font>
      <b/>
      <sz val="24"/>
      <name val="Calibri"/>
      <family val="2"/>
      <scheme val="minor"/>
    </font>
    <font>
      <b/>
      <u/>
      <sz val="16"/>
      <name val="Arial Narrow"/>
      <family val="2"/>
    </font>
    <font>
      <b/>
      <sz val="12"/>
      <name val="Arial Narrow"/>
      <family val="2"/>
    </font>
    <font>
      <u/>
      <sz val="12"/>
      <name val="Arial Narrow"/>
      <family val="2"/>
    </font>
    <font>
      <b/>
      <sz val="12"/>
      <name val="Times New Roman"/>
      <family val="1"/>
    </font>
    <font>
      <sz val="11"/>
      <name val="Calibri"/>
      <family val="2"/>
      <scheme val="minor"/>
    </font>
    <font>
      <b/>
      <sz val="20"/>
      <name val="Calibri"/>
      <family val="2"/>
      <scheme val="minor"/>
    </font>
    <font>
      <b/>
      <sz val="16"/>
      <name val="Calibri"/>
      <family val="2"/>
      <scheme val="minor"/>
    </font>
    <font>
      <sz val="9"/>
      <name val="Calibri"/>
      <family val="2"/>
      <scheme val="minor"/>
    </font>
    <font>
      <sz val="13"/>
      <name val="Times New Roman"/>
      <family val="1"/>
    </font>
    <font>
      <b/>
      <u/>
      <sz val="12"/>
      <name val="Times New Roman"/>
      <family val="1"/>
    </font>
    <font>
      <sz val="11"/>
      <name val="Kozuka Gothic Pro EL"/>
      <family val="2"/>
      <charset val="128"/>
    </font>
    <font>
      <sz val="10"/>
      <color rgb="FFFF0000"/>
      <name val="Times New Roman"/>
      <family val="1"/>
    </font>
    <font>
      <sz val="10"/>
      <color rgb="FFC00000"/>
      <name val="Times New Roman"/>
      <family val="1"/>
    </font>
    <font>
      <sz val="8"/>
      <color theme="1"/>
      <name val="Arial Narrow"/>
      <family val="2"/>
    </font>
    <font>
      <b/>
      <u/>
      <sz val="11"/>
      <name val="Times New Roman"/>
      <family val="1"/>
    </font>
  </fonts>
  <fills count="37">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indexed="13"/>
        <bgColor indexed="34"/>
      </patternFill>
    </fill>
    <fill>
      <patternFill patternType="solid">
        <fgColor indexed="11"/>
        <bgColor indexed="49"/>
      </patternFill>
    </fill>
    <fill>
      <patternFill patternType="solid">
        <fgColor indexed="14"/>
        <bgColor indexed="33"/>
      </patternFill>
    </fill>
    <fill>
      <patternFill patternType="solid">
        <fgColor indexed="9"/>
        <bgColor indexed="64"/>
      </patternFill>
    </fill>
    <fill>
      <patternFill patternType="solid">
        <fgColor indexed="44"/>
        <bgColor indexed="64"/>
      </patternFill>
    </fill>
    <fill>
      <patternFill patternType="solid">
        <fgColor indexed="41"/>
        <bgColor indexed="64"/>
      </patternFill>
    </fill>
    <fill>
      <patternFill patternType="solid">
        <fgColor rgb="FFFFFF00"/>
        <bgColor indexed="64"/>
      </patternFill>
    </fill>
    <fill>
      <patternFill patternType="solid">
        <fgColor theme="0"/>
        <bgColor indexed="64"/>
      </patternFill>
    </fill>
    <fill>
      <patternFill patternType="solid">
        <fgColor rgb="FF99FFCC"/>
        <bgColor indexed="64"/>
      </patternFill>
    </fill>
    <fill>
      <patternFill patternType="solid">
        <fgColor rgb="FF00CC99"/>
        <bgColor indexed="64"/>
      </patternFill>
    </fill>
    <fill>
      <patternFill patternType="solid">
        <fgColor rgb="FF00B0F0"/>
        <bgColor indexed="64"/>
      </patternFill>
    </fill>
    <fill>
      <patternFill patternType="solid">
        <fgColor rgb="FFFF0000"/>
        <bgColor indexed="64"/>
      </patternFill>
    </fill>
    <fill>
      <patternFill patternType="solid">
        <fgColor theme="3" tint="0.39997558519241921"/>
        <bgColor indexed="64"/>
      </patternFill>
    </fill>
    <fill>
      <patternFill patternType="solid">
        <fgColor rgb="FF66FFFF"/>
        <bgColor indexed="64"/>
      </patternFill>
    </fill>
    <fill>
      <patternFill patternType="solid">
        <fgColor rgb="FF0070C0"/>
        <bgColor indexed="64"/>
      </patternFill>
    </fill>
    <fill>
      <patternFill patternType="solid">
        <fgColor theme="7" tint="0.79998168889431442"/>
        <bgColor indexed="64"/>
      </patternFill>
    </fill>
    <fill>
      <patternFill patternType="solid">
        <fgColor rgb="FF99CC00"/>
        <bgColor indexed="64"/>
      </patternFill>
    </fill>
    <fill>
      <patternFill patternType="solid">
        <fgColor rgb="FFFFFF00"/>
        <bgColor indexed="31"/>
      </patternFill>
    </fill>
    <fill>
      <patternFill patternType="solid">
        <fgColor rgb="FFCCCCFF"/>
        <bgColor indexed="64"/>
      </patternFill>
    </fill>
    <fill>
      <patternFill patternType="solid">
        <fgColor theme="3" tint="0.249977111117893"/>
        <bgColor indexed="64"/>
      </patternFill>
    </fill>
    <fill>
      <patternFill patternType="solid">
        <fgColor theme="1"/>
        <bgColor indexed="64"/>
      </patternFill>
    </fill>
    <fill>
      <patternFill patternType="solid">
        <fgColor rgb="FFCCFFFF"/>
        <bgColor indexed="64"/>
      </patternFill>
    </fill>
    <fill>
      <patternFill patternType="solid">
        <fgColor theme="4" tint="-0.499984740745262"/>
        <bgColor indexed="64"/>
      </patternFill>
    </fill>
    <fill>
      <patternFill patternType="solid">
        <fgColor rgb="FFFFC000"/>
        <bgColor indexed="64"/>
      </patternFill>
    </fill>
    <fill>
      <patternFill patternType="solid">
        <fgColor rgb="FFCCFFCC"/>
        <bgColor indexed="64"/>
      </patternFill>
    </fill>
    <fill>
      <patternFill patternType="solid">
        <fgColor theme="0" tint="-0.14999847407452621"/>
        <bgColor indexed="64"/>
      </patternFill>
    </fill>
    <fill>
      <patternFill patternType="solid">
        <fgColor rgb="FF6EB26E"/>
        <bgColor indexed="64"/>
      </patternFill>
    </fill>
    <fill>
      <patternFill patternType="solid">
        <fgColor rgb="FFFFC000"/>
        <bgColor indexed="31"/>
      </patternFill>
    </fill>
    <fill>
      <patternFill patternType="solid">
        <fgColor theme="4" tint="0.39997558519241921"/>
        <bgColor indexed="31"/>
      </patternFill>
    </fill>
    <fill>
      <patternFill patternType="solid">
        <fgColor rgb="FF00B0F0"/>
        <bgColor indexed="31"/>
      </patternFill>
    </fill>
    <fill>
      <patternFill patternType="solid">
        <fgColor rgb="FFFFFF00"/>
        <bgColor indexed="60"/>
      </patternFill>
    </fill>
    <fill>
      <patternFill patternType="solid">
        <fgColor theme="4" tint="0.79998168889431442"/>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style="double">
        <color indexed="10"/>
      </left>
      <right style="thin">
        <color indexed="10"/>
      </right>
      <top style="thin">
        <color indexed="10"/>
      </top>
      <bottom style="thin">
        <color indexed="10"/>
      </bottom>
      <diagonal/>
    </border>
    <border>
      <left style="thin">
        <color indexed="10"/>
      </left>
      <right style="thin">
        <color indexed="10"/>
      </right>
      <top style="thin">
        <color indexed="10"/>
      </top>
      <bottom style="thin">
        <color indexed="10"/>
      </bottom>
      <diagonal/>
    </border>
    <border>
      <left style="thin">
        <color indexed="10"/>
      </left>
      <right style="double">
        <color indexed="10"/>
      </right>
      <top style="thin">
        <color indexed="10"/>
      </top>
      <bottom style="double">
        <color indexed="10"/>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style="thin">
        <color indexed="8"/>
      </left>
      <right style="thin">
        <color indexed="8"/>
      </right>
      <top/>
      <bottom style="thin">
        <color indexed="8"/>
      </bottom>
      <diagonal/>
    </border>
    <border>
      <left style="thin">
        <color indexed="14"/>
      </left>
      <right style="thin">
        <color indexed="14"/>
      </right>
      <top style="thin">
        <color indexed="14"/>
      </top>
      <bottom style="thin">
        <color indexed="1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8"/>
      </top>
      <bottom/>
      <diagonal/>
    </border>
    <border>
      <left style="double">
        <color indexed="10"/>
      </left>
      <right style="double">
        <color indexed="10"/>
      </right>
      <top style="double">
        <color indexed="10"/>
      </top>
      <bottom style="double">
        <color indexed="10"/>
      </bottom>
      <diagonal/>
    </border>
    <border>
      <left/>
      <right/>
      <top style="double">
        <color indexed="10"/>
      </top>
      <bottom style="double">
        <color indexed="10"/>
      </bottom>
      <diagonal/>
    </border>
    <border>
      <left/>
      <right style="double">
        <color indexed="10"/>
      </right>
      <top style="double">
        <color indexed="10"/>
      </top>
      <bottom style="double">
        <color indexed="10"/>
      </bottom>
      <diagonal/>
    </border>
    <border>
      <left style="thin">
        <color indexed="10"/>
      </left>
      <right style="double">
        <color indexed="10"/>
      </right>
      <top style="double">
        <color indexed="10"/>
      </top>
      <bottom style="double">
        <color indexed="10"/>
      </bottom>
      <diagonal/>
    </border>
    <border>
      <left style="thin">
        <color indexed="10"/>
      </left>
      <right style="double">
        <color indexed="10"/>
      </right>
      <top style="double">
        <color indexed="10"/>
      </top>
      <bottom style="thin">
        <color indexed="10"/>
      </bottom>
      <diagonal/>
    </border>
    <border>
      <left style="thin">
        <color indexed="10"/>
      </left>
      <right style="double">
        <color indexed="10"/>
      </right>
      <top style="thin">
        <color indexed="10"/>
      </top>
      <bottom style="thin">
        <color indexed="10"/>
      </bottom>
      <diagonal/>
    </border>
    <border>
      <left style="thick">
        <color indexed="10"/>
      </left>
      <right/>
      <top/>
      <bottom/>
      <diagonal/>
    </border>
    <border>
      <left style="thick">
        <color indexed="10"/>
      </left>
      <right style="thin">
        <color indexed="64"/>
      </right>
      <top style="thin">
        <color indexed="64"/>
      </top>
      <bottom style="thin">
        <color indexed="64"/>
      </bottom>
      <diagonal/>
    </border>
    <border>
      <left style="thin">
        <color indexed="8"/>
      </left>
      <right style="thick">
        <color indexed="10"/>
      </right>
      <top style="thin">
        <color indexed="64"/>
      </top>
      <bottom style="thin">
        <color indexed="64"/>
      </bottom>
      <diagonal/>
    </border>
    <border>
      <left style="thick">
        <color indexed="10"/>
      </left>
      <right style="thin">
        <color indexed="64"/>
      </right>
      <top style="thin">
        <color indexed="64"/>
      </top>
      <bottom style="thick">
        <color indexed="10"/>
      </bottom>
      <diagonal/>
    </border>
    <border>
      <left style="thin">
        <color indexed="64"/>
      </left>
      <right style="thin">
        <color indexed="64"/>
      </right>
      <top style="thin">
        <color indexed="64"/>
      </top>
      <bottom style="thick">
        <color indexed="10"/>
      </bottom>
      <diagonal/>
    </border>
    <border>
      <left/>
      <right/>
      <top style="thin">
        <color indexed="64"/>
      </top>
      <bottom style="thick">
        <color indexed="10"/>
      </bottom>
      <diagonal/>
    </border>
    <border>
      <left style="thin">
        <color indexed="8"/>
      </left>
      <right style="thick">
        <color indexed="10"/>
      </right>
      <top style="thin">
        <color indexed="64"/>
      </top>
      <bottom style="thick">
        <color indexed="10"/>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hair">
        <color indexed="64"/>
      </bottom>
      <diagonal/>
    </border>
    <border>
      <left style="thin">
        <color indexed="64"/>
      </left>
      <right style="thin">
        <color indexed="64"/>
      </right>
      <top style="double">
        <color indexed="64"/>
      </top>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medium">
        <color indexed="8"/>
      </bottom>
      <diagonal/>
    </border>
    <border>
      <left style="thin">
        <color indexed="8"/>
      </left>
      <right style="thin">
        <color indexed="8"/>
      </right>
      <top style="medium">
        <color indexed="8"/>
      </top>
      <bottom style="thin">
        <color indexed="8"/>
      </bottom>
      <diagonal/>
    </border>
    <border>
      <left style="thick">
        <color indexed="10"/>
      </left>
      <right/>
      <top style="thick">
        <color indexed="10"/>
      </top>
      <bottom/>
      <diagonal/>
    </border>
    <border>
      <left/>
      <right style="thick">
        <color indexed="10"/>
      </right>
      <top style="thick">
        <color indexed="10"/>
      </top>
      <bottom/>
      <diagonal/>
    </border>
    <border>
      <left style="thick">
        <color indexed="10"/>
      </left>
      <right/>
      <top/>
      <bottom style="thick">
        <color indexed="10"/>
      </bottom>
      <diagonal/>
    </border>
    <border>
      <left/>
      <right style="thick">
        <color indexed="10"/>
      </right>
      <top/>
      <bottom style="thick">
        <color indexed="10"/>
      </bottom>
      <diagonal/>
    </border>
    <border>
      <left style="thin">
        <color indexed="14"/>
      </left>
      <right/>
      <top style="thin">
        <color indexed="14"/>
      </top>
      <bottom style="thin">
        <color indexed="14"/>
      </bottom>
      <diagonal/>
    </border>
    <border>
      <left/>
      <right/>
      <top/>
      <bottom style="thin">
        <color indexed="8"/>
      </bottom>
      <diagonal/>
    </border>
    <border>
      <left style="thin">
        <color indexed="8"/>
      </left>
      <right style="thin">
        <color indexed="8"/>
      </right>
      <top style="thin">
        <color indexed="8"/>
      </top>
      <bottom/>
      <diagonal/>
    </border>
    <border>
      <left/>
      <right style="thick">
        <color indexed="10"/>
      </right>
      <top/>
      <bottom style="thin">
        <color indexed="64"/>
      </bottom>
      <diagonal/>
    </border>
    <border>
      <left style="thick">
        <color indexed="10"/>
      </left>
      <right style="thin">
        <color indexed="64"/>
      </right>
      <top style="thick">
        <color indexed="10"/>
      </top>
      <bottom/>
      <diagonal/>
    </border>
    <border>
      <left style="thick">
        <color indexed="10"/>
      </left>
      <right style="thin">
        <color indexed="64"/>
      </right>
      <top/>
      <bottom style="thin">
        <color indexed="64"/>
      </bottom>
      <diagonal/>
    </border>
    <border>
      <left style="thin">
        <color indexed="64"/>
      </left>
      <right style="thin">
        <color indexed="64"/>
      </right>
      <top style="thick">
        <color indexed="10"/>
      </top>
      <bottom/>
      <diagonal/>
    </border>
    <border>
      <left style="thin">
        <color indexed="64"/>
      </left>
      <right/>
      <top style="thick">
        <color indexed="10"/>
      </top>
      <bottom/>
      <diagonal/>
    </border>
    <border>
      <left style="thin">
        <color indexed="8"/>
      </left>
      <right/>
      <top style="thick">
        <color indexed="10"/>
      </top>
      <bottom style="thin">
        <color indexed="64"/>
      </bottom>
      <diagonal/>
    </border>
    <border>
      <left/>
      <right/>
      <top style="thick">
        <color indexed="10"/>
      </top>
      <bottom style="thin">
        <color indexed="64"/>
      </bottom>
      <diagonal/>
    </border>
    <border>
      <left style="double">
        <color indexed="10"/>
      </left>
      <right/>
      <top style="double">
        <color indexed="10"/>
      </top>
      <bottom style="double">
        <color indexed="10"/>
      </bottom>
      <diagonal/>
    </border>
    <border>
      <left/>
      <right style="thin">
        <color indexed="10"/>
      </right>
      <top style="double">
        <color indexed="10"/>
      </top>
      <bottom style="double">
        <color indexed="10"/>
      </bottom>
      <diagonal/>
    </border>
    <border>
      <left style="double">
        <color indexed="10"/>
      </left>
      <right/>
      <top style="double">
        <color indexed="10"/>
      </top>
      <bottom style="thin">
        <color indexed="10"/>
      </bottom>
      <diagonal/>
    </border>
    <border>
      <left/>
      <right style="thin">
        <color indexed="10"/>
      </right>
      <top style="double">
        <color indexed="10"/>
      </top>
      <bottom style="thin">
        <color indexed="10"/>
      </bottom>
      <diagonal/>
    </border>
    <border>
      <left style="double">
        <color indexed="10"/>
      </left>
      <right/>
      <top style="thin">
        <color indexed="10"/>
      </top>
      <bottom style="thin">
        <color indexed="10"/>
      </bottom>
      <diagonal/>
    </border>
    <border>
      <left/>
      <right style="thin">
        <color indexed="10"/>
      </right>
      <top style="thin">
        <color indexed="10"/>
      </top>
      <bottom style="thin">
        <color indexed="10"/>
      </bottom>
      <diagonal/>
    </border>
    <border>
      <left style="thick">
        <color indexed="10"/>
      </left>
      <right/>
      <top style="thick">
        <color indexed="10"/>
      </top>
      <bottom style="thick">
        <color indexed="10"/>
      </bottom>
      <diagonal/>
    </border>
    <border>
      <left/>
      <right style="thick">
        <color indexed="10"/>
      </right>
      <top style="thick">
        <color indexed="10"/>
      </top>
      <bottom style="thick">
        <color indexed="10"/>
      </bottom>
      <diagonal/>
    </border>
    <border>
      <left style="double">
        <color indexed="10"/>
      </left>
      <right/>
      <top style="thin">
        <color indexed="10"/>
      </top>
      <bottom style="double">
        <color indexed="10"/>
      </bottom>
      <diagonal/>
    </border>
    <border>
      <left/>
      <right style="thin">
        <color indexed="10"/>
      </right>
      <top style="thin">
        <color indexed="10"/>
      </top>
      <bottom style="double">
        <color indexed="10"/>
      </bottom>
      <diagonal/>
    </border>
    <border>
      <left/>
      <right style="thin">
        <color indexed="64"/>
      </right>
      <top style="double">
        <color indexed="64"/>
      </top>
      <bottom/>
      <diagonal/>
    </border>
    <border>
      <left style="thin">
        <color indexed="64"/>
      </left>
      <right style="thin">
        <color indexed="64"/>
      </right>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14"/>
      </left>
      <right style="thin">
        <color indexed="14"/>
      </right>
      <top style="thin">
        <color indexed="14"/>
      </top>
      <bottom style="medium">
        <color theme="1"/>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medium">
        <color theme="1"/>
      </left>
      <right style="thin">
        <color indexed="14"/>
      </right>
      <top style="thin">
        <color indexed="14"/>
      </top>
      <bottom style="thin">
        <color indexed="14"/>
      </bottom>
      <diagonal/>
    </border>
    <border>
      <left style="thick">
        <color rgb="FF00B0F0"/>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thin">
        <color indexed="14"/>
      </left>
      <right style="medium">
        <color theme="1"/>
      </right>
      <top style="thin">
        <color indexed="14"/>
      </top>
      <bottom style="thin">
        <color indexed="1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14"/>
      </left>
      <right style="medium">
        <color theme="1"/>
      </right>
      <top style="thin">
        <color indexed="14"/>
      </top>
      <bottom style="medium">
        <color theme="1"/>
      </bottom>
      <diagonal/>
    </border>
    <border>
      <left/>
      <right style="medium">
        <color theme="1"/>
      </right>
      <top style="thin">
        <color indexed="14"/>
      </top>
      <bottom style="thin">
        <color indexed="14"/>
      </bottom>
      <diagonal/>
    </border>
    <border>
      <left style="thin">
        <color theme="1" tint="0.34998626667073579"/>
      </left>
      <right style="thin">
        <color theme="1" tint="0.34998626667073579"/>
      </right>
      <top style="thick">
        <color indexed="10"/>
      </top>
      <bottom/>
      <diagonal/>
    </border>
    <border>
      <left style="thin">
        <color theme="1" tint="0.34998626667073579"/>
      </left>
      <right style="thin">
        <color theme="1" tint="0.34998626667073579"/>
      </right>
      <top/>
      <bottom style="thin">
        <color indexed="64"/>
      </bottom>
      <diagonal/>
    </border>
    <border>
      <left style="thin">
        <color theme="1" tint="4.9989318521683403E-2"/>
      </left>
      <right/>
      <top style="thick">
        <color indexed="10"/>
      </top>
      <bottom style="thin">
        <color indexed="64"/>
      </bottom>
      <diagonal/>
    </border>
    <border>
      <left/>
      <right style="thin">
        <color theme="1" tint="0.34998626667073579"/>
      </right>
      <top style="thick">
        <color indexed="10"/>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style="thick">
        <color rgb="FFFF0000"/>
      </left>
      <right style="thick">
        <color rgb="FFFF0000"/>
      </right>
      <top/>
      <bottom/>
      <diagonal/>
    </border>
    <border>
      <left style="medium">
        <color rgb="FF370AB6"/>
      </left>
      <right style="medium">
        <color rgb="FF370AB6"/>
      </right>
      <top style="medium">
        <color rgb="FF370AB6"/>
      </top>
      <bottom/>
      <diagonal/>
    </border>
    <border>
      <left style="medium">
        <color rgb="FF370AB6"/>
      </left>
      <right style="medium">
        <color rgb="FF370AB6"/>
      </right>
      <top/>
      <bottom style="medium">
        <color rgb="FF370AB6"/>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s>
  <cellStyleXfs count="4">
    <xf numFmtId="0" fontId="0" fillId="0" borderId="0"/>
    <xf numFmtId="0" fontId="6" fillId="0" borderId="0" applyNumberFormat="0" applyFill="0" applyBorder="0" applyAlignment="0" applyProtection="0">
      <alignment vertical="top"/>
      <protection locked="0"/>
    </xf>
    <xf numFmtId="0" fontId="18" fillId="0" borderId="0"/>
    <xf numFmtId="0" fontId="17" fillId="0" borderId="0"/>
  </cellStyleXfs>
  <cellXfs count="743">
    <xf numFmtId="0" fontId="0" fillId="0" borderId="0" xfId="0"/>
    <xf numFmtId="0" fontId="1" fillId="11" borderId="1" xfId="0" applyFont="1" applyFill="1" applyBorder="1" applyAlignment="1" applyProtection="1">
      <alignment horizontal="center" vertical="center"/>
      <protection locked="0"/>
    </xf>
    <xf numFmtId="43" fontId="19" fillId="3" borderId="2" xfId="2" applyNumberFormat="1" applyFont="1" applyFill="1" applyBorder="1" applyAlignment="1" applyProtection="1">
      <alignment vertical="center"/>
      <protection locked="0"/>
    </xf>
    <xf numFmtId="43" fontId="19" fillId="3" borderId="3" xfId="2" applyNumberFormat="1" applyFont="1" applyFill="1" applyBorder="1" applyAlignment="1" applyProtection="1">
      <alignment vertical="center"/>
      <protection locked="0"/>
    </xf>
    <xf numFmtId="0" fontId="20" fillId="4" borderId="4" xfId="2" applyFont="1" applyFill="1" applyBorder="1" applyAlignment="1" applyProtection="1">
      <alignment horizontal="left" vertical="center"/>
      <protection locked="0"/>
    </xf>
    <xf numFmtId="0" fontId="1" fillId="11" borderId="5" xfId="0" applyFont="1" applyFill="1" applyBorder="1" applyAlignment="1" applyProtection="1">
      <alignment horizontal="left" vertical="center"/>
      <protection locked="0"/>
    </xf>
    <xf numFmtId="0" fontId="1" fillId="11" borderId="6" xfId="0" applyFont="1" applyFill="1" applyBorder="1" applyAlignment="1" applyProtection="1">
      <alignment horizontal="left" vertical="center"/>
      <protection locked="0"/>
    </xf>
    <xf numFmtId="0" fontId="12" fillId="0" borderId="0" xfId="0" applyFont="1"/>
    <xf numFmtId="0" fontId="9" fillId="0" borderId="0" xfId="0" applyFont="1" applyAlignment="1">
      <alignment horizontal="left" vertical="center"/>
    </xf>
    <xf numFmtId="0" fontId="12" fillId="0" borderId="0" xfId="0" applyFont="1" applyAlignment="1">
      <alignment horizontal="left" vertical="center"/>
    </xf>
    <xf numFmtId="0" fontId="12" fillId="5" borderId="7" xfId="0" applyFont="1" applyFill="1" applyBorder="1" applyAlignment="1">
      <alignment horizontal="center" vertical="center"/>
    </xf>
    <xf numFmtId="0" fontId="12" fillId="5" borderId="8" xfId="0" applyFont="1" applyFill="1" applyBorder="1" applyAlignment="1">
      <alignment horizontal="center" vertical="center"/>
    </xf>
    <xf numFmtId="0" fontId="12" fillId="6" borderId="7" xfId="0" applyFont="1" applyFill="1" applyBorder="1" applyAlignment="1">
      <alignment horizontal="center" vertical="center"/>
    </xf>
    <xf numFmtId="0" fontId="29" fillId="7" borderId="8" xfId="0" applyFont="1" applyFill="1" applyBorder="1" applyAlignment="1">
      <alignment horizontal="left"/>
    </xf>
    <xf numFmtId="0" fontId="29" fillId="7" borderId="9" xfId="0" applyFont="1" applyFill="1" applyBorder="1" applyAlignment="1">
      <alignment horizontal="left"/>
    </xf>
    <xf numFmtId="0" fontId="30" fillId="0" borderId="0" xfId="0" applyFont="1"/>
    <xf numFmtId="0" fontId="30" fillId="0" borderId="0" xfId="0" applyFont="1" applyFill="1"/>
    <xf numFmtId="49" fontId="13" fillId="0" borderId="0" xfId="0" applyNumberFormat="1" applyFont="1" applyAlignment="1">
      <alignment horizontal="left" vertical="center"/>
    </xf>
    <xf numFmtId="0" fontId="11" fillId="0" borderId="0" xfId="0" applyFont="1" applyBorder="1" applyAlignment="1"/>
    <xf numFmtId="0" fontId="11" fillId="0" borderId="0" xfId="0" applyFont="1" applyBorder="1" applyAlignment="1">
      <alignment horizontal="right"/>
    </xf>
    <xf numFmtId="0" fontId="12" fillId="0" borderId="10" xfId="0" applyFont="1" applyFill="1" applyBorder="1" applyAlignment="1">
      <alignment horizontal="center" vertical="center"/>
    </xf>
    <xf numFmtId="0" fontId="0" fillId="0" borderId="0" xfId="0" applyFill="1" applyProtection="1">
      <protection locked="0"/>
    </xf>
    <xf numFmtId="0" fontId="18" fillId="0" borderId="0" xfId="0" applyFont="1" applyFill="1" applyAlignment="1" applyProtection="1">
      <alignment vertical="center"/>
      <protection hidden="1"/>
    </xf>
    <xf numFmtId="0" fontId="0" fillId="0" borderId="0" xfId="0" applyFill="1" applyProtection="1">
      <protection hidden="1"/>
    </xf>
    <xf numFmtId="0" fontId="33" fillId="0" borderId="0" xfId="0" applyFont="1" applyFill="1" applyAlignment="1" applyProtection="1">
      <alignment vertical="center"/>
      <protection hidden="1"/>
    </xf>
    <xf numFmtId="0" fontId="0" fillId="13" borderId="0" xfId="0" applyFill="1" applyProtection="1">
      <protection locked="0"/>
    </xf>
    <xf numFmtId="0" fontId="1" fillId="0" borderId="7" xfId="0" applyFont="1" applyFill="1" applyBorder="1" applyAlignment="1" applyProtection="1">
      <alignment horizontal="center" vertical="center"/>
      <protection locked="0"/>
    </xf>
    <xf numFmtId="0" fontId="0" fillId="0" borderId="7" xfId="0" applyFill="1" applyBorder="1" applyAlignment="1" applyProtection="1">
      <alignment horizontal="center"/>
      <protection locked="0"/>
    </xf>
    <xf numFmtId="0" fontId="0" fillId="13" borderId="0" xfId="0" applyFill="1" applyBorder="1" applyAlignment="1" applyProtection="1">
      <alignment horizontal="center"/>
      <protection locked="0"/>
    </xf>
    <xf numFmtId="0" fontId="1" fillId="14" borderId="11" xfId="0" applyFont="1" applyFill="1" applyBorder="1" applyAlignment="1" applyProtection="1">
      <alignment vertical="center"/>
      <protection locked="0"/>
    </xf>
    <xf numFmtId="0" fontId="1" fillId="14" borderId="78" xfId="0" applyFont="1" applyFill="1" applyBorder="1" applyAlignment="1" applyProtection="1">
      <alignment vertical="center"/>
      <protection locked="0"/>
    </xf>
    <xf numFmtId="0" fontId="0" fillId="0" borderId="0" xfId="0" applyProtection="1">
      <protection locked="0"/>
    </xf>
    <xf numFmtId="0" fontId="0" fillId="0" borderId="0" xfId="0" applyProtection="1">
      <protection hidden="1"/>
    </xf>
    <xf numFmtId="0" fontId="0" fillId="15" borderId="0" xfId="0" applyFill="1" applyProtection="1">
      <protection hidden="1"/>
    </xf>
    <xf numFmtId="0" fontId="0" fillId="16" borderId="0" xfId="0" applyFill="1" applyProtection="1">
      <protection hidden="1"/>
    </xf>
    <xf numFmtId="0" fontId="0" fillId="17" borderId="79" xfId="0" applyFill="1" applyBorder="1" applyProtection="1">
      <protection hidden="1"/>
    </xf>
    <xf numFmtId="0" fontId="0" fillId="17" borderId="80" xfId="0" applyFill="1" applyBorder="1" applyProtection="1">
      <protection hidden="1"/>
    </xf>
    <xf numFmtId="0" fontId="0" fillId="17" borderId="81" xfId="0" applyFill="1" applyBorder="1" applyProtection="1">
      <protection hidden="1"/>
    </xf>
    <xf numFmtId="0" fontId="51" fillId="18" borderId="0" xfId="0" applyFont="1" applyFill="1" applyProtection="1">
      <protection hidden="1"/>
    </xf>
    <xf numFmtId="0" fontId="0" fillId="18" borderId="0" xfId="0" applyFill="1" applyProtection="1">
      <protection hidden="1"/>
    </xf>
    <xf numFmtId="0" fontId="52" fillId="18" borderId="0" xfId="0" applyFont="1" applyFill="1" applyProtection="1">
      <protection hidden="1"/>
    </xf>
    <xf numFmtId="0" fontId="0" fillId="17" borderId="82" xfId="0" applyFill="1" applyBorder="1" applyProtection="1">
      <protection hidden="1"/>
    </xf>
    <xf numFmtId="0" fontId="0" fillId="17" borderId="0" xfId="0" applyFill="1" applyBorder="1" applyProtection="1">
      <protection hidden="1"/>
    </xf>
    <xf numFmtId="0" fontId="0" fillId="17" borderId="83" xfId="0" applyFill="1" applyBorder="1" applyProtection="1">
      <protection hidden="1"/>
    </xf>
    <xf numFmtId="0" fontId="53" fillId="17" borderId="0" xfId="0" applyFont="1" applyFill="1" applyBorder="1" applyAlignment="1" applyProtection="1">
      <alignment vertical="center"/>
      <protection hidden="1"/>
    </xf>
    <xf numFmtId="0" fontId="53" fillId="17" borderId="0" xfId="0" applyFont="1" applyFill="1" applyAlignment="1" applyProtection="1">
      <protection hidden="1"/>
    </xf>
    <xf numFmtId="0" fontId="54" fillId="18" borderId="0" xfId="1" applyFont="1" applyFill="1" applyAlignment="1" applyProtection="1">
      <protection hidden="1"/>
    </xf>
    <xf numFmtId="0" fontId="55" fillId="17" borderId="0" xfId="0" applyFont="1" applyFill="1" applyBorder="1" applyAlignment="1" applyProtection="1">
      <alignment vertical="center"/>
      <protection hidden="1"/>
    </xf>
    <xf numFmtId="0" fontId="50" fillId="18" borderId="0" xfId="0" applyFont="1" applyFill="1" applyProtection="1">
      <protection hidden="1"/>
    </xf>
    <xf numFmtId="0" fontId="56" fillId="17" borderId="0" xfId="0" applyFont="1" applyFill="1" applyBorder="1" applyAlignment="1" applyProtection="1">
      <alignment vertical="center"/>
      <protection hidden="1"/>
    </xf>
    <xf numFmtId="0" fontId="0" fillId="17" borderId="0" xfId="0" applyFill="1" applyProtection="1">
      <protection hidden="1"/>
    </xf>
    <xf numFmtId="0" fontId="0" fillId="17" borderId="83" xfId="0" applyFill="1" applyBorder="1" applyAlignment="1" applyProtection="1">
      <alignment horizontal="left"/>
      <protection hidden="1"/>
    </xf>
    <xf numFmtId="0" fontId="0" fillId="2" borderId="82" xfId="0" applyFill="1" applyBorder="1" applyAlignment="1" applyProtection="1">
      <protection hidden="1"/>
    </xf>
    <xf numFmtId="0" fontId="0" fillId="2" borderId="0" xfId="0" applyFill="1" applyBorder="1" applyAlignment="1" applyProtection="1">
      <protection hidden="1"/>
    </xf>
    <xf numFmtId="0" fontId="0" fillId="2" borderId="0" xfId="0" applyFill="1" applyBorder="1" applyAlignment="1" applyProtection="1">
      <alignment horizontal="left"/>
      <protection hidden="1"/>
    </xf>
    <xf numFmtId="0" fontId="0" fillId="2" borderId="83" xfId="0" applyFill="1" applyBorder="1" applyProtection="1">
      <protection hidden="1"/>
    </xf>
    <xf numFmtId="0" fontId="18" fillId="12" borderId="0" xfId="0" applyFont="1" applyFill="1" applyBorder="1" applyAlignment="1" applyProtection="1">
      <alignment horizontal="center" vertical="center"/>
      <protection hidden="1"/>
    </xf>
    <xf numFmtId="0" fontId="0" fillId="19" borderId="0" xfId="0" applyFill="1" applyProtection="1">
      <protection locked="0"/>
    </xf>
    <xf numFmtId="0" fontId="0" fillId="19" borderId="17" xfId="0" applyFill="1" applyBorder="1" applyAlignment="1" applyProtection="1">
      <alignment horizontal="center"/>
      <protection locked="0"/>
    </xf>
    <xf numFmtId="0" fontId="0" fillId="19" borderId="17" xfId="0" applyFont="1" applyFill="1" applyBorder="1" applyProtection="1">
      <protection locked="0"/>
    </xf>
    <xf numFmtId="0" fontId="0" fillId="16" borderId="0" xfId="0" applyFill="1" applyProtection="1">
      <protection locked="0"/>
    </xf>
    <xf numFmtId="0" fontId="0" fillId="10" borderId="0" xfId="0" applyFill="1" applyProtection="1">
      <protection locked="0"/>
    </xf>
    <xf numFmtId="0" fontId="4" fillId="9" borderId="18" xfId="0" applyFont="1" applyFill="1" applyBorder="1" applyAlignment="1" applyProtection="1">
      <alignment vertical="center"/>
      <protection locked="0"/>
    </xf>
    <xf numFmtId="0" fontId="14" fillId="9" borderId="19" xfId="0" applyFont="1" applyFill="1" applyBorder="1" applyProtection="1">
      <protection locked="0"/>
    </xf>
    <xf numFmtId="0" fontId="14" fillId="9" borderId="20" xfId="0" applyFont="1" applyFill="1" applyBorder="1" applyProtection="1">
      <protection locked="0"/>
    </xf>
    <xf numFmtId="0" fontId="14" fillId="10" borderId="0" xfId="0" applyFont="1" applyFill="1" applyProtection="1">
      <protection locked="0"/>
    </xf>
    <xf numFmtId="0" fontId="4" fillId="10" borderId="0" xfId="0" applyFont="1" applyFill="1" applyAlignment="1" applyProtection="1">
      <alignment vertical="center"/>
      <protection locked="0"/>
    </xf>
    <xf numFmtId="0" fontId="17" fillId="4" borderId="21" xfId="0" applyFont="1" applyFill="1" applyBorder="1" applyAlignment="1" applyProtection="1">
      <alignment horizontal="left"/>
      <protection locked="0"/>
    </xf>
    <xf numFmtId="0" fontId="17" fillId="10" borderId="0" xfId="0" applyFont="1" applyFill="1" applyProtection="1">
      <protection locked="0"/>
    </xf>
    <xf numFmtId="41" fontId="20" fillId="4" borderId="22" xfId="2" applyNumberFormat="1" applyFont="1" applyFill="1" applyBorder="1" applyAlignment="1" applyProtection="1">
      <alignment horizontal="left" vertical="center"/>
      <protection locked="0"/>
    </xf>
    <xf numFmtId="41" fontId="20" fillId="4" borderId="23" xfId="2" applyNumberFormat="1" applyFont="1" applyFill="1" applyBorder="1" applyAlignment="1" applyProtection="1">
      <alignment horizontal="left" vertical="center"/>
      <protection locked="0"/>
    </xf>
    <xf numFmtId="0" fontId="21" fillId="13" borderId="0" xfId="0" applyFont="1" applyFill="1" applyBorder="1" applyAlignment="1" applyProtection="1">
      <alignment horizontal="center"/>
      <protection locked="0"/>
    </xf>
    <xf numFmtId="0" fontId="55" fillId="13" borderId="0" xfId="0" applyFont="1" applyFill="1" applyBorder="1" applyAlignment="1" applyProtection="1">
      <alignment horizontal="center" vertical="center"/>
      <protection locked="0"/>
    </xf>
    <xf numFmtId="0" fontId="1" fillId="10" borderId="24" xfId="0" applyFont="1" applyFill="1" applyBorder="1" applyAlignment="1" applyProtection="1">
      <alignment vertical="center"/>
      <protection locked="0"/>
    </xf>
    <xf numFmtId="0" fontId="1" fillId="0" borderId="1" xfId="0" applyFont="1" applyBorder="1" applyAlignment="1" applyProtection="1">
      <alignment horizontal="center" vertical="center"/>
      <protection locked="0"/>
    </xf>
    <xf numFmtId="0" fontId="1" fillId="0" borderId="6" xfId="0" applyFont="1" applyBorder="1" applyAlignment="1" applyProtection="1">
      <alignment horizontal="center" vertical="center" wrapText="1"/>
      <protection locked="0"/>
    </xf>
    <xf numFmtId="0" fontId="0" fillId="0" borderId="25"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vertical="center"/>
      <protection locked="0"/>
    </xf>
    <xf numFmtId="0" fontId="0" fillId="0" borderId="1" xfId="0"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0" fontId="9" fillId="10" borderId="24" xfId="0" applyFont="1" applyFill="1" applyBorder="1" applyAlignment="1" applyProtection="1">
      <protection locked="0"/>
    </xf>
    <xf numFmtId="0" fontId="7" fillId="10" borderId="24" xfId="0" applyFont="1" applyFill="1" applyBorder="1" applyAlignment="1" applyProtection="1">
      <alignment vertical="center"/>
      <protection locked="0"/>
    </xf>
    <xf numFmtId="0" fontId="0" fillId="0" borderId="26" xfId="0" applyBorder="1" applyAlignment="1" applyProtection="1">
      <alignment horizontal="center" wrapText="1"/>
      <protection locked="0"/>
    </xf>
    <xf numFmtId="0" fontId="0" fillId="10" borderId="24" xfId="0" applyFill="1" applyBorder="1" applyAlignment="1" applyProtection="1">
      <alignment horizontal="center"/>
      <protection locked="0"/>
    </xf>
    <xf numFmtId="0" fontId="0" fillId="10" borderId="0" xfId="0" applyFill="1" applyBorder="1" applyAlignment="1" applyProtection="1">
      <alignment horizontal="center"/>
      <protection locked="0"/>
    </xf>
    <xf numFmtId="0" fontId="0" fillId="0" borderId="1" xfId="0" applyFont="1" applyBorder="1" applyAlignment="1" applyProtection="1">
      <alignment horizontal="center"/>
      <protection locked="0"/>
    </xf>
    <xf numFmtId="0" fontId="0" fillId="0" borderId="14" xfId="0" applyBorder="1" applyAlignment="1" applyProtection="1">
      <alignment horizontal="center"/>
      <protection locked="0"/>
    </xf>
    <xf numFmtId="0" fontId="0" fillId="0" borderId="27" xfId="0" applyBorder="1" applyAlignment="1" applyProtection="1">
      <alignment horizontal="center" vertical="center"/>
      <protection locked="0"/>
    </xf>
    <xf numFmtId="0" fontId="0" fillId="0" borderId="28" xfId="0" applyFont="1" applyBorder="1" applyAlignment="1" applyProtection="1">
      <alignment vertical="center"/>
      <protection locked="0"/>
    </xf>
    <xf numFmtId="0" fontId="0" fillId="0" borderId="28" xfId="0" applyFont="1" applyBorder="1" applyAlignment="1" applyProtection="1">
      <alignment horizontal="center"/>
      <protection locked="0"/>
    </xf>
    <xf numFmtId="0" fontId="0" fillId="0" borderId="29" xfId="0" applyBorder="1" applyAlignment="1" applyProtection="1">
      <alignment horizontal="center"/>
      <protection locked="0"/>
    </xf>
    <xf numFmtId="0" fontId="0" fillId="0" borderId="30" xfId="0" applyBorder="1" applyAlignment="1" applyProtection="1">
      <alignment horizontal="center" wrapText="1"/>
      <protection locked="0"/>
    </xf>
    <xf numFmtId="0" fontId="7" fillId="0" borderId="1" xfId="0" applyFont="1" applyBorder="1" applyAlignment="1" applyProtection="1">
      <alignment horizontal="left" vertical="center" wrapText="1"/>
      <protection locked="0"/>
    </xf>
    <xf numFmtId="0" fontId="0" fillId="0" borderId="1" xfId="0" applyBorder="1" applyAlignment="1" applyProtection="1">
      <alignment horizontal="left" wrapText="1"/>
      <protection locked="0"/>
    </xf>
    <xf numFmtId="0" fontId="0" fillId="0" borderId="28" xfId="0" applyBorder="1" applyAlignment="1" applyProtection="1">
      <alignment horizontal="left" wrapText="1"/>
      <protection locked="0"/>
    </xf>
    <xf numFmtId="0" fontId="7" fillId="0" borderId="14" xfId="0" applyFont="1" applyBorder="1" applyAlignment="1" applyProtection="1">
      <alignment horizontal="left" vertical="center" wrapText="1"/>
      <protection locked="0"/>
    </xf>
    <xf numFmtId="0" fontId="0" fillId="0" borderId="14" xfId="0" applyBorder="1" applyAlignment="1" applyProtection="1">
      <alignment horizontal="left" wrapText="1"/>
      <protection locked="0"/>
    </xf>
    <xf numFmtId="0" fontId="0" fillId="0" borderId="29" xfId="0" applyBorder="1" applyAlignment="1" applyProtection="1">
      <alignment horizontal="left" wrapText="1"/>
      <protection locked="0"/>
    </xf>
    <xf numFmtId="0" fontId="9" fillId="0" borderId="26" xfId="0" applyFont="1" applyBorder="1" applyAlignment="1" applyProtection="1">
      <alignment horizontal="left" wrapText="1"/>
      <protection locked="0"/>
    </xf>
    <xf numFmtId="0" fontId="7" fillId="0" borderId="26" xfId="0" applyFont="1" applyBorder="1" applyAlignment="1" applyProtection="1">
      <alignment horizontal="left" wrapText="1"/>
      <protection locked="0"/>
    </xf>
    <xf numFmtId="0" fontId="0" fillId="0" borderId="26" xfId="0" applyBorder="1" applyAlignment="1" applyProtection="1">
      <alignment horizontal="left" wrapText="1"/>
      <protection locked="0"/>
    </xf>
    <xf numFmtId="0" fontId="0" fillId="0" borderId="30" xfId="0" applyBorder="1" applyAlignment="1" applyProtection="1">
      <alignment horizontal="left" wrapText="1"/>
      <protection locked="0"/>
    </xf>
    <xf numFmtId="0" fontId="0" fillId="0" borderId="28" xfId="0" applyBorder="1" applyAlignment="1" applyProtection="1">
      <alignment horizontal="left" vertical="center"/>
      <protection locked="0"/>
    </xf>
    <xf numFmtId="0" fontId="0" fillId="0" borderId="28" xfId="0" applyBorder="1" applyAlignment="1" applyProtection="1">
      <alignment vertical="center"/>
      <protection locked="0"/>
    </xf>
    <xf numFmtId="0" fontId="0" fillId="20" borderId="0" xfId="0" applyFill="1" applyProtection="1">
      <protection locked="0"/>
    </xf>
    <xf numFmtId="0" fontId="2" fillId="17" borderId="84" xfId="0" applyFont="1" applyFill="1" applyBorder="1" applyAlignment="1" applyProtection="1">
      <alignment horizontal="center"/>
      <protection locked="0"/>
    </xf>
    <xf numFmtId="0" fontId="3" fillId="14" borderId="11" xfId="0" applyFont="1" applyFill="1" applyBorder="1" applyAlignment="1" applyProtection="1">
      <alignment horizontal="left"/>
      <protection locked="0"/>
    </xf>
    <xf numFmtId="0" fontId="57" fillId="20" borderId="0" xfId="0" applyFont="1" applyFill="1" applyProtection="1">
      <protection locked="0"/>
    </xf>
    <xf numFmtId="0" fontId="4" fillId="17" borderId="1" xfId="0" applyFont="1" applyFill="1" applyBorder="1" applyAlignment="1" applyProtection="1">
      <alignment horizontal="center"/>
      <protection locked="0"/>
    </xf>
    <xf numFmtId="0" fontId="5" fillId="17" borderId="1" xfId="0" applyFont="1" applyFill="1" applyBorder="1" applyAlignment="1" applyProtection="1">
      <alignment horizontal="center"/>
      <protection locked="0"/>
    </xf>
    <xf numFmtId="0" fontId="58" fillId="17" borderId="1" xfId="0" applyFont="1" applyFill="1" applyBorder="1" applyAlignment="1" applyProtection="1">
      <alignment horizontal="center"/>
      <protection locked="0"/>
    </xf>
    <xf numFmtId="0" fontId="0" fillId="11" borderId="1" xfId="0" applyFill="1" applyBorder="1" applyAlignment="1" applyProtection="1">
      <alignment horizontal="left" vertical="center"/>
      <protection locked="0"/>
    </xf>
    <xf numFmtId="0" fontId="0" fillId="11" borderId="1" xfId="0" applyFill="1" applyBorder="1" applyProtection="1">
      <protection locked="0"/>
    </xf>
    <xf numFmtId="0" fontId="0" fillId="11" borderId="0" xfId="0" applyFill="1" applyProtection="1">
      <protection locked="0"/>
    </xf>
    <xf numFmtId="0" fontId="0" fillId="21" borderId="0" xfId="0" applyFill="1" applyProtection="1">
      <protection locked="0"/>
    </xf>
    <xf numFmtId="0" fontId="8" fillId="0" borderId="1" xfId="0" applyFont="1" applyFill="1" applyBorder="1" applyAlignment="1" applyProtection="1">
      <protection hidden="1"/>
    </xf>
    <xf numFmtId="2" fontId="24" fillId="0" borderId="1" xfId="0" applyNumberFormat="1" applyFont="1" applyFill="1" applyBorder="1" applyAlignment="1" applyProtection="1">
      <alignment horizontal="center"/>
      <protection hidden="1"/>
    </xf>
    <xf numFmtId="0" fontId="24" fillId="0" borderId="1" xfId="0" applyFont="1" applyFill="1" applyBorder="1" applyAlignment="1" applyProtection="1">
      <alignment horizontal="center"/>
      <protection hidden="1"/>
    </xf>
    <xf numFmtId="49" fontId="32" fillId="0" borderId="0" xfId="0" applyNumberFormat="1" applyFont="1" applyFill="1" applyAlignment="1">
      <alignment vertical="center"/>
    </xf>
    <xf numFmtId="49" fontId="12" fillId="0" borderId="0" xfId="0" applyNumberFormat="1" applyFont="1" applyFill="1"/>
    <xf numFmtId="49" fontId="30" fillId="22" borderId="7" xfId="0" applyNumberFormat="1" applyFont="1" applyFill="1" applyBorder="1" applyAlignment="1">
      <alignment horizontal="center" vertical="center"/>
    </xf>
    <xf numFmtId="49" fontId="30" fillId="22" borderId="7" xfId="0" applyNumberFormat="1" applyFont="1" applyFill="1" applyBorder="1" applyAlignment="1">
      <alignment horizontal="center" vertical="center" wrapText="1"/>
    </xf>
    <xf numFmtId="49" fontId="30" fillId="22" borderId="7" xfId="0" applyNumberFormat="1" applyFont="1" applyFill="1" applyBorder="1" applyAlignment="1">
      <alignment horizontal="left" vertical="center" wrapText="1"/>
    </xf>
    <xf numFmtId="49" fontId="12" fillId="0" borderId="0" xfId="0" applyNumberFormat="1" applyFont="1" applyFill="1" applyAlignment="1">
      <alignment horizontal="center" vertical="center"/>
    </xf>
    <xf numFmtId="49" fontId="12" fillId="0" borderId="0" xfId="0" applyNumberFormat="1" applyFont="1" applyFill="1" applyAlignment="1">
      <alignment horizontal="left" wrapText="1"/>
    </xf>
    <xf numFmtId="49" fontId="29" fillId="0" borderId="0" xfId="0" applyNumberFormat="1" applyFont="1" applyFill="1"/>
    <xf numFmtId="0" fontId="0" fillId="23" borderId="0" xfId="0" applyFill="1" applyProtection="1">
      <protection locked="0"/>
    </xf>
    <xf numFmtId="0" fontId="59" fillId="0" borderId="0" xfId="0" applyFont="1" applyFill="1" applyProtection="1">
      <protection locked="0"/>
    </xf>
    <xf numFmtId="0" fontId="60" fillId="0" borderId="7" xfId="0" applyFont="1" applyFill="1" applyBorder="1" applyAlignment="1" applyProtection="1">
      <alignment horizontal="left" vertical="center" wrapText="1"/>
      <protection locked="0"/>
    </xf>
    <xf numFmtId="0" fontId="60" fillId="0" borderId="7" xfId="0" applyFont="1" applyFill="1" applyBorder="1" applyAlignment="1" applyProtection="1">
      <alignment horizontal="left" vertical="center"/>
      <protection locked="0"/>
    </xf>
    <xf numFmtId="0" fontId="8" fillId="0" borderId="1" xfId="0" applyFont="1" applyFill="1" applyBorder="1" applyAlignment="1" applyProtection="1">
      <alignment horizontal="center"/>
      <protection hidden="1"/>
    </xf>
    <xf numFmtId="0" fontId="61" fillId="24" borderId="1" xfId="0" applyFont="1" applyFill="1" applyBorder="1" applyAlignment="1" applyProtection="1">
      <alignment horizontal="center" vertical="center"/>
      <protection locked="0"/>
    </xf>
    <xf numFmtId="0" fontId="61" fillId="24" borderId="1" xfId="0" applyFont="1" applyFill="1" applyBorder="1" applyAlignment="1" applyProtection="1">
      <alignment vertical="center"/>
      <protection locked="0"/>
    </xf>
    <xf numFmtId="0" fontId="58" fillId="24" borderId="1" xfId="0" applyFont="1" applyFill="1" applyBorder="1" applyAlignment="1" applyProtection="1">
      <alignment horizontal="center" vertical="center"/>
      <protection locked="0"/>
    </xf>
    <xf numFmtId="0" fontId="62" fillId="25" borderId="5" xfId="0" applyFont="1" applyFill="1" applyBorder="1" applyAlignment="1" applyProtection="1">
      <alignment horizontal="left" vertical="center"/>
      <protection locked="0"/>
    </xf>
    <xf numFmtId="0" fontId="62" fillId="25" borderId="1" xfId="0" applyFont="1" applyFill="1" applyBorder="1" applyAlignment="1" applyProtection="1">
      <alignment horizontal="center" vertical="center"/>
      <protection locked="0"/>
    </xf>
    <xf numFmtId="0" fontId="63" fillId="15" borderId="1" xfId="1" applyFont="1" applyFill="1" applyBorder="1" applyAlignment="1" applyProtection="1">
      <alignment horizontal="left" vertical="center"/>
      <protection hidden="1"/>
    </xf>
    <xf numFmtId="0" fontId="1" fillId="25" borderId="6" xfId="0" applyFont="1" applyFill="1" applyBorder="1" applyAlignment="1" applyProtection="1">
      <alignment horizontal="left" vertical="center"/>
      <protection locked="0"/>
    </xf>
    <xf numFmtId="0" fontId="1" fillId="25" borderId="1" xfId="0" applyFont="1" applyFill="1" applyBorder="1" applyAlignment="1" applyProtection="1">
      <alignment horizontal="center" vertical="center"/>
      <protection locked="0"/>
    </xf>
    <xf numFmtId="0" fontId="58" fillId="20" borderId="33" xfId="0" applyFont="1" applyFill="1" applyBorder="1" applyAlignment="1" applyProtection="1">
      <alignment horizontal="center"/>
      <protection locked="0"/>
    </xf>
    <xf numFmtId="0" fontId="0" fillId="20" borderId="33" xfId="0" applyFill="1" applyBorder="1" applyProtection="1">
      <protection locked="0"/>
    </xf>
    <xf numFmtId="0" fontId="0" fillId="20" borderId="0" xfId="0" applyFill="1" applyBorder="1" applyProtection="1">
      <protection locked="0"/>
    </xf>
    <xf numFmtId="0" fontId="1" fillId="20" borderId="33" xfId="0" applyFont="1" applyFill="1" applyBorder="1" applyAlignment="1" applyProtection="1">
      <alignment horizontal="left" vertical="center"/>
      <protection locked="0"/>
    </xf>
    <xf numFmtId="0" fontId="1" fillId="20" borderId="33" xfId="0" applyFont="1" applyFill="1" applyBorder="1" applyAlignment="1" applyProtection="1">
      <alignment horizontal="center" vertical="center"/>
      <protection locked="0"/>
    </xf>
    <xf numFmtId="0" fontId="58" fillId="20" borderId="33" xfId="0" applyFont="1" applyFill="1" applyBorder="1" applyAlignment="1" applyProtection="1">
      <alignment horizontal="center" vertical="center"/>
      <protection locked="0"/>
    </xf>
    <xf numFmtId="0" fontId="57" fillId="20" borderId="0" xfId="0" applyFont="1" applyFill="1" applyBorder="1" applyAlignment="1" applyProtection="1">
      <alignment horizontal="left"/>
      <protection locked="0"/>
    </xf>
    <xf numFmtId="0" fontId="0" fillId="26" borderId="0" xfId="0" applyFill="1" applyProtection="1">
      <protection locked="0"/>
    </xf>
    <xf numFmtId="0" fontId="21" fillId="26" borderId="0" xfId="0" applyFont="1" applyFill="1" applyBorder="1" applyAlignment="1" applyProtection="1">
      <alignment horizontal="center"/>
      <protection locked="0"/>
    </xf>
    <xf numFmtId="0" fontId="55" fillId="26" borderId="0" xfId="0" applyFont="1" applyFill="1" applyBorder="1" applyAlignment="1" applyProtection="1">
      <alignment horizontal="center" vertical="center"/>
      <protection locked="0"/>
    </xf>
    <xf numFmtId="0" fontId="58" fillId="27" borderId="1" xfId="0" applyFont="1" applyFill="1" applyBorder="1" applyAlignment="1" applyProtection="1">
      <alignment horizontal="center"/>
      <protection locked="0"/>
    </xf>
    <xf numFmtId="0" fontId="63" fillId="16" borderId="1" xfId="1" applyFont="1" applyFill="1" applyBorder="1" applyAlignment="1" applyProtection="1">
      <alignment horizontal="left" vertical="center"/>
      <protection hidden="1"/>
    </xf>
    <xf numFmtId="0" fontId="1" fillId="13" borderId="0" xfId="0" applyFont="1" applyFill="1" applyBorder="1" applyAlignment="1" applyProtection="1">
      <alignment horizontal="center"/>
      <protection locked="0"/>
    </xf>
    <xf numFmtId="0" fontId="0" fillId="15" borderId="0" xfId="0" applyFont="1" applyFill="1" applyProtection="1">
      <protection hidden="1"/>
    </xf>
    <xf numFmtId="0" fontId="34" fillId="15" borderId="0" xfId="0" applyFont="1" applyFill="1" applyAlignment="1" applyProtection="1">
      <alignment vertical="center"/>
      <protection hidden="1"/>
    </xf>
    <xf numFmtId="0" fontId="0" fillId="28" borderId="0" xfId="0" applyFont="1" applyFill="1" applyProtection="1">
      <protection hidden="1"/>
    </xf>
    <xf numFmtId="0" fontId="34" fillId="28" borderId="0" xfId="0" applyFont="1" applyFill="1" applyAlignment="1" applyProtection="1">
      <alignment vertical="center"/>
      <protection hidden="1"/>
    </xf>
    <xf numFmtId="0" fontId="64" fillId="28" borderId="0" xfId="0" applyFont="1" applyFill="1" applyProtection="1">
      <protection hidden="1"/>
    </xf>
    <xf numFmtId="0" fontId="64" fillId="15" borderId="0" xfId="0" applyFont="1" applyFill="1" applyProtection="1">
      <protection hidden="1"/>
    </xf>
    <xf numFmtId="0" fontId="65" fillId="11" borderId="0" xfId="0" applyFont="1" applyFill="1" applyProtection="1">
      <protection locked="0"/>
    </xf>
    <xf numFmtId="0" fontId="10" fillId="19" borderId="0" xfId="0" applyFont="1" applyFill="1" applyBorder="1" applyAlignment="1" applyProtection="1">
      <alignment horizontal="center" vertical="center"/>
      <protection locked="0"/>
    </xf>
    <xf numFmtId="0" fontId="10" fillId="19" borderId="0" xfId="0" applyFont="1" applyFill="1" applyAlignment="1" applyProtection="1">
      <alignment horizontal="center" vertical="center"/>
      <protection locked="0"/>
    </xf>
    <xf numFmtId="0" fontId="10" fillId="29" borderId="0" xfId="0" applyFont="1" applyFill="1" applyAlignment="1" applyProtection="1">
      <alignment horizontal="center" vertical="center"/>
      <protection locked="0"/>
    </xf>
    <xf numFmtId="0" fontId="36" fillId="19" borderId="34" xfId="0" applyFont="1" applyFill="1" applyBorder="1" applyProtection="1">
      <protection locked="0"/>
    </xf>
    <xf numFmtId="0" fontId="36" fillId="19" borderId="0" xfId="0" applyFont="1" applyFill="1" applyProtection="1">
      <protection locked="0"/>
    </xf>
    <xf numFmtId="0" fontId="36" fillId="29" borderId="0" xfId="0" applyFont="1" applyFill="1" applyProtection="1">
      <protection locked="0"/>
    </xf>
    <xf numFmtId="0" fontId="66" fillId="29" borderId="0" xfId="0" applyFont="1" applyFill="1" applyProtection="1">
      <protection locked="0"/>
    </xf>
    <xf numFmtId="0" fontId="36" fillId="19" borderId="34" xfId="0" applyFont="1" applyFill="1" applyBorder="1" applyAlignment="1" applyProtection="1">
      <alignment vertical="center"/>
      <protection locked="0"/>
    </xf>
    <xf numFmtId="0" fontId="36" fillId="19" borderId="0" xfId="0" applyFont="1" applyFill="1" applyAlignment="1" applyProtection="1">
      <alignment vertical="center"/>
      <protection locked="0"/>
    </xf>
    <xf numFmtId="1" fontId="66" fillId="29" borderId="0" xfId="0" applyNumberFormat="1" applyFont="1" applyFill="1" applyAlignment="1" applyProtection="1">
      <alignment horizontal="center" vertical="center"/>
      <protection locked="0"/>
    </xf>
    <xf numFmtId="0" fontId="36" fillId="29" borderId="0" xfId="0" applyFont="1" applyFill="1" applyAlignment="1" applyProtection="1">
      <alignment vertical="center"/>
      <protection locked="0"/>
    </xf>
    <xf numFmtId="2" fontId="36" fillId="29" borderId="0" xfId="0" applyNumberFormat="1" applyFont="1" applyFill="1" applyAlignment="1" applyProtection="1">
      <alignment vertical="center"/>
      <protection locked="0"/>
    </xf>
    <xf numFmtId="0" fontId="36" fillId="19" borderId="34" xfId="0" quotePrefix="1" applyFont="1" applyFill="1" applyBorder="1" applyAlignment="1" applyProtection="1">
      <alignment horizontal="center" vertical="center"/>
      <protection locked="0"/>
    </xf>
    <xf numFmtId="0" fontId="36" fillId="19" borderId="0" xfId="0" quotePrefix="1" applyFont="1" applyFill="1" applyBorder="1" applyAlignment="1" applyProtection="1">
      <alignment horizontal="center" vertical="center"/>
      <protection locked="0"/>
    </xf>
    <xf numFmtId="1" fontId="36" fillId="29" borderId="0" xfId="0" applyNumberFormat="1" applyFont="1" applyFill="1" applyAlignment="1" applyProtection="1">
      <alignment horizontal="center" vertical="center"/>
      <protection locked="0"/>
    </xf>
    <xf numFmtId="0" fontId="35" fillId="19" borderId="0" xfId="0" applyNumberFormat="1" applyFont="1" applyFill="1" applyBorder="1" applyAlignment="1" applyProtection="1">
      <alignment horizontal="left" vertical="center" wrapText="1"/>
      <protection locked="0"/>
    </xf>
    <xf numFmtId="0" fontId="36" fillId="19" borderId="0" xfId="0" applyFont="1" applyFill="1" applyBorder="1" applyAlignment="1" applyProtection="1">
      <alignment horizontal="center" vertical="center"/>
      <protection locked="0"/>
    </xf>
    <xf numFmtId="0" fontId="15" fillId="19" borderId="0" xfId="0" applyFont="1" applyFill="1" applyBorder="1" applyAlignment="1" applyProtection="1">
      <alignment horizontal="center" vertical="center"/>
      <protection locked="0"/>
    </xf>
    <xf numFmtId="0" fontId="3" fillId="19" borderId="0" xfId="0" applyFont="1" applyFill="1" applyBorder="1" applyAlignment="1" applyProtection="1">
      <alignment horizontal="left" vertical="center" wrapText="1"/>
      <protection locked="0"/>
    </xf>
    <xf numFmtId="0" fontId="36" fillId="19" borderId="0" xfId="0" applyFont="1" applyFill="1" applyBorder="1" applyAlignment="1" applyProtection="1">
      <alignment horizontal="center"/>
      <protection locked="0"/>
    </xf>
    <xf numFmtId="0" fontId="37" fillId="19" borderId="0" xfId="0" applyFont="1" applyFill="1" applyBorder="1" applyAlignment="1" applyProtection="1">
      <alignment horizontal="distributed" vertical="center"/>
      <protection locked="0"/>
    </xf>
    <xf numFmtId="1" fontId="37" fillId="19" borderId="0" xfId="0" applyNumberFormat="1" applyFont="1" applyFill="1" applyBorder="1" applyAlignment="1" applyProtection="1">
      <alignment horizontal="distributed" vertical="center"/>
      <protection locked="0"/>
    </xf>
    <xf numFmtId="0" fontId="35" fillId="29" borderId="0" xfId="0" applyNumberFormat="1" applyFont="1" applyFill="1" applyBorder="1" applyAlignment="1" applyProtection="1">
      <alignment horizontal="left" vertical="center" wrapText="1"/>
      <protection locked="0"/>
    </xf>
    <xf numFmtId="0" fontId="10" fillId="29" borderId="0" xfId="0" applyFont="1" applyFill="1" applyBorder="1" applyAlignment="1" applyProtection="1">
      <alignment horizontal="center" vertical="center"/>
      <protection locked="0"/>
    </xf>
    <xf numFmtId="0" fontId="31" fillId="0" borderId="0" xfId="0" applyFont="1" applyFill="1" applyAlignment="1" applyProtection="1">
      <alignment horizontal="left" vertical="center"/>
      <protection hidden="1"/>
    </xf>
    <xf numFmtId="0" fontId="10" fillId="0" borderId="0" xfId="0" applyFont="1" applyFill="1" applyAlignment="1" applyProtection="1">
      <alignment horizontal="center" vertical="center"/>
      <protection hidden="1"/>
    </xf>
    <xf numFmtId="2" fontId="10" fillId="0" borderId="0" xfId="0" applyNumberFormat="1" applyFont="1" applyFill="1" applyAlignment="1" applyProtection="1">
      <alignment horizontal="center" vertical="center"/>
      <protection hidden="1"/>
    </xf>
    <xf numFmtId="49" fontId="31" fillId="0" borderId="0" xfId="0" applyNumberFormat="1" applyFont="1" applyFill="1" applyAlignment="1" applyProtection="1">
      <alignment horizontal="left" vertical="center"/>
      <protection hidden="1"/>
    </xf>
    <xf numFmtId="0" fontId="36" fillId="0" borderId="35" xfId="0" applyFont="1" applyFill="1" applyBorder="1" applyAlignment="1" applyProtection="1">
      <alignment vertical="center"/>
      <protection hidden="1"/>
    </xf>
    <xf numFmtId="0" fontId="35" fillId="0" borderId="1" xfId="0" applyFont="1" applyFill="1" applyBorder="1" applyAlignment="1" applyProtection="1">
      <alignment horizontal="center" vertical="center" textRotation="90" wrapText="1"/>
      <protection hidden="1"/>
    </xf>
    <xf numFmtId="0" fontId="45" fillId="0" borderId="36" xfId="0" applyFont="1" applyFill="1" applyBorder="1" applyAlignment="1" applyProtection="1">
      <alignment horizontal="center" vertical="center" wrapText="1"/>
      <protection hidden="1"/>
    </xf>
    <xf numFmtId="0" fontId="39" fillId="0" borderId="36" xfId="0" applyFont="1" applyFill="1" applyBorder="1" applyAlignment="1" applyProtection="1">
      <alignment horizontal="center" vertical="center" wrapText="1"/>
      <protection hidden="1"/>
    </xf>
    <xf numFmtId="0" fontId="40" fillId="0" borderId="36" xfId="0" applyFont="1" applyFill="1" applyBorder="1" applyAlignment="1" applyProtection="1">
      <alignment horizontal="center" vertical="center" wrapText="1"/>
      <protection hidden="1"/>
    </xf>
    <xf numFmtId="0" fontId="40" fillId="0" borderId="37" xfId="0" applyFont="1" applyFill="1" applyBorder="1" applyAlignment="1" applyProtection="1">
      <alignment horizontal="center" vertical="center" wrapText="1"/>
      <protection hidden="1"/>
    </xf>
    <xf numFmtId="0" fontId="36" fillId="0" borderId="37" xfId="0" applyFont="1" applyFill="1" applyBorder="1" applyAlignment="1" applyProtection="1">
      <alignment horizontal="center" vertical="center"/>
      <protection hidden="1"/>
    </xf>
    <xf numFmtId="0" fontId="36" fillId="0" borderId="38" xfId="0" applyFont="1" applyFill="1" applyBorder="1" applyAlignment="1" applyProtection="1">
      <alignment horizontal="center" vertical="center"/>
      <protection hidden="1"/>
    </xf>
    <xf numFmtId="0" fontId="36" fillId="0" borderId="40" xfId="0" applyFont="1" applyFill="1" applyBorder="1" applyAlignment="1" applyProtection="1">
      <alignment horizontal="center" vertical="center"/>
      <protection hidden="1"/>
    </xf>
    <xf numFmtId="0" fontId="36" fillId="0" borderId="41" xfId="0" applyFont="1" applyFill="1" applyBorder="1" applyAlignment="1" applyProtection="1">
      <alignment horizontal="center" vertical="center"/>
      <protection hidden="1"/>
    </xf>
    <xf numFmtId="0" fontId="36" fillId="0" borderId="42" xfId="0" applyFont="1" applyFill="1" applyBorder="1" applyAlignment="1" applyProtection="1">
      <alignment horizontal="center" vertical="center"/>
      <protection hidden="1"/>
    </xf>
    <xf numFmtId="0" fontId="36" fillId="0" borderId="43" xfId="0" applyFont="1" applyFill="1" applyBorder="1" applyAlignment="1" applyProtection="1">
      <alignment horizontal="center" vertical="center"/>
      <protection hidden="1"/>
    </xf>
    <xf numFmtId="2" fontId="36" fillId="30" borderId="42" xfId="0" applyNumberFormat="1" applyFont="1" applyFill="1" applyBorder="1" applyAlignment="1" applyProtection="1">
      <alignment horizontal="center" vertical="center"/>
      <protection hidden="1"/>
    </xf>
    <xf numFmtId="0" fontId="36" fillId="0" borderId="44" xfId="0" applyFont="1" applyFill="1" applyBorder="1" applyAlignment="1" applyProtection="1">
      <alignment horizontal="center" vertical="center"/>
      <protection hidden="1"/>
    </xf>
    <xf numFmtId="2" fontId="36" fillId="0" borderId="45" xfId="0" applyNumberFormat="1" applyFont="1" applyFill="1" applyBorder="1" applyAlignment="1" applyProtection="1">
      <alignment horizontal="center" vertical="center"/>
      <protection hidden="1"/>
    </xf>
    <xf numFmtId="2" fontId="36" fillId="0" borderId="41" xfId="0" applyNumberFormat="1" applyFont="1" applyFill="1" applyBorder="1" applyAlignment="1" applyProtection="1">
      <alignment horizontal="center" vertical="center"/>
      <protection hidden="1"/>
    </xf>
    <xf numFmtId="2" fontId="36" fillId="0" borderId="44" xfId="0" applyNumberFormat="1" applyFont="1" applyFill="1" applyBorder="1" applyAlignment="1" applyProtection="1">
      <alignment horizontal="center" vertical="center"/>
      <protection hidden="1"/>
    </xf>
    <xf numFmtId="0" fontId="15" fillId="0" borderId="0" xfId="0" applyFont="1" applyFill="1" applyBorder="1" applyAlignment="1" applyProtection="1">
      <alignment horizontal="center" vertical="center"/>
      <protection hidden="1"/>
    </xf>
    <xf numFmtId="0" fontId="36" fillId="0" borderId="0" xfId="0" applyNumberFormat="1" applyFont="1" applyFill="1" applyBorder="1" applyAlignment="1" applyProtection="1">
      <alignment horizontal="center" vertical="center"/>
      <protection hidden="1"/>
    </xf>
    <xf numFmtId="0" fontId="35" fillId="0" borderId="0" xfId="0" applyNumberFormat="1" applyFont="1" applyFill="1" applyBorder="1" applyAlignment="1" applyProtection="1">
      <alignment horizontal="left" vertical="center"/>
      <protection hidden="1"/>
    </xf>
    <xf numFmtId="0" fontId="36" fillId="0" borderId="0" xfId="0" applyFont="1" applyFill="1" applyBorder="1" applyAlignment="1" applyProtection="1">
      <alignment horizontal="center" vertical="center"/>
      <protection hidden="1"/>
    </xf>
    <xf numFmtId="0" fontId="41" fillId="0" borderId="0" xfId="0" applyFont="1" applyFill="1" applyBorder="1" applyAlignment="1" applyProtection="1">
      <alignment horizontal="center" vertical="center"/>
      <protection hidden="1"/>
    </xf>
    <xf numFmtId="0" fontId="37" fillId="0" borderId="0" xfId="0" applyFont="1" applyFill="1" applyBorder="1" applyAlignment="1" applyProtection="1">
      <alignment horizontal="distributed" vertical="center"/>
      <protection hidden="1"/>
    </xf>
    <xf numFmtId="0" fontId="69" fillId="14" borderId="1" xfId="1" applyFont="1" applyFill="1" applyBorder="1" applyAlignment="1" applyProtection="1">
      <protection locked="0"/>
    </xf>
    <xf numFmtId="0" fontId="69" fillId="14" borderId="46" xfId="1" applyFont="1" applyFill="1" applyBorder="1" applyAlignment="1" applyProtection="1">
      <alignment horizontal="left" vertical="center"/>
      <protection locked="0"/>
    </xf>
    <xf numFmtId="0" fontId="63" fillId="14" borderId="46" xfId="1" applyFont="1" applyFill="1" applyBorder="1" applyAlignment="1" applyProtection="1">
      <alignment horizontal="left" vertical="center"/>
      <protection locked="0"/>
    </xf>
    <xf numFmtId="0" fontId="63" fillId="14" borderId="1" xfId="1" applyFont="1" applyFill="1" applyBorder="1" applyAlignment="1" applyProtection="1">
      <alignment horizontal="left" vertical="center"/>
      <protection locked="0"/>
    </xf>
    <xf numFmtId="0" fontId="62" fillId="25" borderId="0" xfId="1" applyFont="1" applyFill="1" applyBorder="1" applyAlignment="1" applyProtection="1">
      <alignment horizontal="left" vertical="center"/>
      <protection locked="0"/>
    </xf>
    <xf numFmtId="0" fontId="0" fillId="20" borderId="33" xfId="0" applyFill="1" applyBorder="1" applyAlignment="1" applyProtection="1">
      <alignment horizontal="left" vertical="center"/>
      <protection locked="0"/>
    </xf>
    <xf numFmtId="0" fontId="63" fillId="15" borderId="0" xfId="1" applyFont="1" applyFill="1" applyAlignment="1" applyProtection="1">
      <alignment vertical="center"/>
      <protection hidden="1"/>
    </xf>
    <xf numFmtId="0" fontId="49" fillId="25" borderId="0" xfId="0" applyFont="1" applyFill="1" applyAlignment="1" applyProtection="1">
      <alignment vertical="center"/>
      <protection hidden="1"/>
    </xf>
    <xf numFmtId="0" fontId="64" fillId="28" borderId="85" xfId="0" applyFont="1" applyFill="1" applyBorder="1" applyProtection="1">
      <protection locked="0"/>
    </xf>
    <xf numFmtId="0" fontId="64" fillId="28" borderId="86" xfId="0" applyFont="1" applyFill="1" applyBorder="1" applyProtection="1">
      <protection locked="0"/>
    </xf>
    <xf numFmtId="0" fontId="64" fillId="28" borderId="87" xfId="0" applyFont="1" applyFill="1" applyBorder="1" applyProtection="1">
      <protection locked="0"/>
    </xf>
    <xf numFmtId="0" fontId="64" fillId="28" borderId="88" xfId="0" applyFont="1" applyFill="1" applyBorder="1" applyProtection="1">
      <protection locked="0"/>
    </xf>
    <xf numFmtId="0" fontId="64" fillId="28" borderId="89" xfId="0" applyFont="1" applyFill="1" applyBorder="1" applyProtection="1">
      <protection locked="0"/>
    </xf>
    <xf numFmtId="0" fontId="64" fillId="28" borderId="90" xfId="0" applyFont="1" applyFill="1" applyBorder="1" applyProtection="1">
      <protection locked="0"/>
    </xf>
    <xf numFmtId="0" fontId="0" fillId="0" borderId="0" xfId="0" applyAlignment="1">
      <alignment horizontal="center"/>
    </xf>
    <xf numFmtId="2" fontId="0" fillId="0" borderId="0" xfId="0" applyNumberFormat="1" applyAlignment="1">
      <alignment horizontal="center"/>
    </xf>
    <xf numFmtId="2" fontId="10" fillId="11" borderId="1" xfId="0" applyNumberFormat="1" applyFont="1" applyFill="1" applyBorder="1" applyAlignment="1" applyProtection="1">
      <alignment horizontal="center" vertical="center"/>
      <protection hidden="1"/>
    </xf>
    <xf numFmtId="0" fontId="0" fillId="16" borderId="0" xfId="0" applyFill="1"/>
    <xf numFmtId="0" fontId="70" fillId="0" borderId="26" xfId="0" applyFont="1" applyBorder="1" applyAlignment="1" applyProtection="1">
      <alignment horizontal="left" wrapText="1"/>
      <protection locked="0"/>
    </xf>
    <xf numFmtId="0" fontId="70" fillId="0" borderId="1" xfId="0" applyFont="1" applyBorder="1" applyAlignment="1" applyProtection="1">
      <alignment horizontal="left" wrapText="1"/>
      <protection locked="0"/>
    </xf>
    <xf numFmtId="0" fontId="70" fillId="0" borderId="14" xfId="0" applyFont="1" applyBorder="1" applyAlignment="1" applyProtection="1">
      <alignment horizontal="left" wrapText="1"/>
      <protection locked="0"/>
    </xf>
    <xf numFmtId="0" fontId="7" fillId="0" borderId="14" xfId="0" applyFont="1" applyBorder="1" applyAlignment="1" applyProtection="1">
      <alignment vertical="center"/>
      <protection locked="0"/>
    </xf>
    <xf numFmtId="0" fontId="7" fillId="0" borderId="26" xfId="0" applyFont="1" applyBorder="1" applyAlignment="1" applyProtection="1">
      <alignment vertical="center" wrapText="1"/>
      <protection locked="0"/>
    </xf>
    <xf numFmtId="0" fontId="70" fillId="0" borderId="26" xfId="0" applyFont="1" applyBorder="1" applyAlignment="1" applyProtection="1">
      <alignment vertical="center" wrapText="1"/>
      <protection locked="0"/>
    </xf>
    <xf numFmtId="0" fontId="70" fillId="0" borderId="14" xfId="0" applyFont="1" applyBorder="1" applyAlignment="1" applyProtection="1">
      <alignment vertical="center"/>
      <protection locked="0"/>
    </xf>
    <xf numFmtId="0" fontId="47" fillId="0" borderId="1" xfId="0" applyFont="1" applyBorder="1" applyAlignment="1" applyProtection="1">
      <alignment horizontal="center" vertical="center"/>
      <protection locked="0"/>
    </xf>
    <xf numFmtId="0" fontId="71" fillId="0" borderId="1" xfId="0" applyFont="1" applyBorder="1" applyAlignment="1" applyProtection="1">
      <alignment horizontal="center" vertical="center"/>
      <protection locked="0"/>
    </xf>
    <xf numFmtId="0" fontId="7" fillId="0" borderId="26" xfId="0" applyFont="1" applyBorder="1" applyAlignment="1" applyProtection="1">
      <alignment horizontal="left" vertical="center" wrapText="1"/>
      <protection locked="0"/>
    </xf>
    <xf numFmtId="0" fontId="0" fillId="0" borderId="1" xfId="0" applyFont="1" applyFill="1" applyBorder="1" applyAlignment="1" applyProtection="1">
      <alignment horizontal="center" vertical="center"/>
      <protection locked="0"/>
    </xf>
    <xf numFmtId="0" fontId="7" fillId="0" borderId="1" xfId="0" applyFont="1" applyBorder="1" applyAlignment="1" applyProtection="1">
      <alignment vertical="center" wrapText="1"/>
      <protection locked="0"/>
    </xf>
    <xf numFmtId="0" fontId="7" fillId="0" borderId="14" xfId="0" applyFont="1" applyBorder="1" applyAlignment="1" applyProtection="1">
      <alignment vertical="center" wrapText="1"/>
      <protection locked="0"/>
    </xf>
    <xf numFmtId="1" fontId="0" fillId="0" borderId="1" xfId="0" applyNumberFormat="1" applyFont="1" applyBorder="1" applyAlignment="1" applyProtection="1">
      <alignment horizontal="center" vertical="center"/>
      <protection locked="0"/>
    </xf>
    <xf numFmtId="0" fontId="0" fillId="0" borderId="7" xfId="0" applyFill="1" applyBorder="1"/>
    <xf numFmtId="0" fontId="0" fillId="31" borderId="0" xfId="0" applyFill="1"/>
    <xf numFmtId="0" fontId="12" fillId="22" borderId="47" xfId="0" applyFont="1" applyFill="1" applyBorder="1" applyAlignment="1">
      <alignment horizontal="center" vertical="center"/>
    </xf>
    <xf numFmtId="0" fontId="12" fillId="22" borderId="47" xfId="0" applyFont="1" applyFill="1" applyBorder="1" applyAlignment="1">
      <alignment horizontal="center" vertical="center" wrapText="1"/>
    </xf>
    <xf numFmtId="0" fontId="29" fillId="0" borderId="10" xfId="0" applyFont="1" applyFill="1" applyBorder="1" applyAlignment="1">
      <alignment horizontal="center" vertical="center"/>
    </xf>
    <xf numFmtId="0" fontId="29" fillId="0" borderId="10" xfId="0" applyFont="1" applyFill="1" applyBorder="1" applyAlignment="1" applyProtection="1">
      <alignment horizontal="center" vertical="center"/>
      <protection locked="0"/>
    </xf>
    <xf numFmtId="0" fontId="9" fillId="0" borderId="7" xfId="0" applyFont="1" applyFill="1" applyBorder="1" applyAlignment="1">
      <alignment horizontal="center" vertical="center"/>
    </xf>
    <xf numFmtId="0" fontId="29" fillId="0" borderId="7" xfId="0" applyFont="1" applyFill="1" applyBorder="1" applyAlignment="1" applyProtection="1">
      <alignment horizontal="center" vertical="center"/>
      <protection locked="0"/>
    </xf>
    <xf numFmtId="0" fontId="29" fillId="0" borderId="7" xfId="0" applyFont="1" applyFill="1" applyBorder="1" applyAlignment="1" applyProtection="1">
      <alignment horizontal="left" vertical="center"/>
      <protection locked="0"/>
    </xf>
    <xf numFmtId="166" fontId="29" fillId="0" borderId="7" xfId="0" applyNumberFormat="1" applyFont="1" applyFill="1" applyBorder="1" applyAlignment="1" applyProtection="1">
      <alignment horizontal="left" vertical="center"/>
      <protection locked="0"/>
    </xf>
    <xf numFmtId="165" fontId="9" fillId="0" borderId="7" xfId="0" applyNumberFormat="1" applyFont="1" applyFill="1" applyBorder="1" applyAlignment="1" applyProtection="1">
      <alignment horizontal="center" vertical="center"/>
      <protection locked="0"/>
    </xf>
    <xf numFmtId="0" fontId="9" fillId="0" borderId="7" xfId="0" applyFont="1" applyFill="1" applyBorder="1" applyAlignment="1" applyProtection="1">
      <alignment vertical="center"/>
      <protection locked="0"/>
    </xf>
    <xf numFmtId="0" fontId="9" fillId="0" borderId="7" xfId="0" applyFont="1" applyFill="1" applyBorder="1" applyAlignment="1" applyProtection="1">
      <alignment horizontal="center" vertical="center"/>
      <protection locked="0"/>
    </xf>
    <xf numFmtId="0" fontId="9" fillId="0" borderId="7" xfId="0" applyFont="1" applyFill="1" applyBorder="1" applyAlignment="1" applyProtection="1">
      <alignment horizontal="left" vertical="center"/>
      <protection locked="0"/>
    </xf>
    <xf numFmtId="166" fontId="9" fillId="0" borderId="7" xfId="0" applyNumberFormat="1" applyFont="1" applyFill="1" applyBorder="1" applyAlignment="1" applyProtection="1">
      <alignment horizontal="left" vertical="center"/>
      <protection locked="0"/>
    </xf>
    <xf numFmtId="0" fontId="29" fillId="0" borderId="7" xfId="0" applyFont="1" applyFill="1" applyBorder="1" applyAlignment="1" applyProtection="1">
      <alignment vertical="center"/>
      <protection locked="0"/>
    </xf>
    <xf numFmtId="0" fontId="11" fillId="0" borderId="0" xfId="0" applyFont="1" applyBorder="1" applyAlignment="1">
      <alignment horizontal="left"/>
    </xf>
    <xf numFmtId="49" fontId="0" fillId="0" borderId="10" xfId="0" quotePrefix="1" applyNumberFormat="1" applyBorder="1"/>
    <xf numFmtId="49" fontId="75" fillId="0" borderId="7" xfId="0" applyNumberFormat="1" applyFont="1" applyFill="1" applyBorder="1" applyAlignment="1" applyProtection="1">
      <alignment horizontal="center" vertical="center" wrapText="1"/>
      <protection locked="0"/>
    </xf>
    <xf numFmtId="49" fontId="75" fillId="0" borderId="7" xfId="0" applyNumberFormat="1" applyFont="1" applyFill="1" applyBorder="1" applyAlignment="1" applyProtection="1">
      <alignment horizontal="left" vertical="center" wrapText="1"/>
      <protection locked="0"/>
    </xf>
    <xf numFmtId="49" fontId="75" fillId="0" borderId="7" xfId="0" quotePrefix="1" applyNumberFormat="1" applyFont="1" applyFill="1" applyBorder="1" applyAlignment="1" applyProtection="1">
      <alignment horizontal="left" vertical="center" wrapText="1"/>
      <protection locked="0"/>
    </xf>
    <xf numFmtId="0" fontId="29" fillId="0" borderId="10" xfId="0" applyFont="1" applyFill="1" applyBorder="1" applyAlignment="1">
      <alignment horizontal="left" vertical="center"/>
    </xf>
    <xf numFmtId="0" fontId="29" fillId="0" borderId="48" xfId="0" applyFont="1" applyFill="1" applyBorder="1" applyAlignment="1">
      <alignment horizontal="center" vertical="center"/>
    </xf>
    <xf numFmtId="49" fontId="75" fillId="0" borderId="7" xfId="0" quotePrefix="1" applyNumberFormat="1" applyFont="1" applyFill="1" applyBorder="1" applyAlignment="1" applyProtection="1">
      <alignment horizontal="center" vertical="center" wrapText="1"/>
      <protection locked="0"/>
    </xf>
    <xf numFmtId="2" fontId="0" fillId="0" borderId="0" xfId="0" applyNumberFormat="1"/>
    <xf numFmtId="0" fontId="0" fillId="0" borderId="1" xfId="0" applyFill="1" applyBorder="1" applyAlignment="1" applyProtection="1">
      <alignment horizontal="left" vertical="center"/>
      <protection locked="0"/>
    </xf>
    <xf numFmtId="0" fontId="0" fillId="0" borderId="1" xfId="0" applyFill="1" applyBorder="1" applyAlignment="1" applyProtection="1">
      <alignment vertical="center"/>
      <protection locked="0"/>
    </xf>
    <xf numFmtId="0" fontId="10" fillId="0" borderId="1" xfId="0" applyFont="1" applyFill="1" applyBorder="1" applyAlignment="1" applyProtection="1">
      <alignment horizontal="center" vertical="center"/>
      <protection locked="0"/>
    </xf>
    <xf numFmtId="0" fontId="73" fillId="0" borderId="1" xfId="0" applyFont="1" applyFill="1" applyBorder="1" applyAlignment="1" applyProtection="1">
      <alignment horizontal="center" vertical="center"/>
      <protection locked="0"/>
    </xf>
    <xf numFmtId="0" fontId="0" fillId="0" borderId="1" xfId="0" applyFont="1" applyFill="1" applyBorder="1" applyAlignment="1" applyProtection="1">
      <alignment horizontal="center"/>
      <protection locked="0"/>
    </xf>
    <xf numFmtId="0" fontId="0" fillId="0" borderId="28" xfId="0" applyFont="1" applyFill="1" applyBorder="1" applyAlignment="1" applyProtection="1">
      <alignment vertical="center"/>
      <protection locked="0"/>
    </xf>
    <xf numFmtId="0" fontId="0" fillId="0" borderId="28" xfId="0" applyFont="1" applyFill="1" applyBorder="1" applyAlignment="1" applyProtection="1">
      <alignment horizontal="center"/>
      <protection locked="0"/>
    </xf>
    <xf numFmtId="0" fontId="73" fillId="0" borderId="1" xfId="0" applyFont="1" applyFill="1" applyBorder="1" applyAlignment="1" applyProtection="1">
      <alignment horizontal="center"/>
      <protection locked="0"/>
    </xf>
    <xf numFmtId="0" fontId="0" fillId="0" borderId="25" xfId="0" applyFill="1" applyBorder="1" applyAlignment="1" applyProtection="1">
      <alignment horizontal="center" vertical="center"/>
      <protection locked="0"/>
    </xf>
    <xf numFmtId="0" fontId="0" fillId="0" borderId="27" xfId="0" applyFill="1" applyBorder="1" applyAlignment="1" applyProtection="1">
      <alignment horizontal="center" vertical="center"/>
      <protection locked="0"/>
    </xf>
    <xf numFmtId="0" fontId="0" fillId="0" borderId="28" xfId="0" applyFill="1" applyBorder="1" applyAlignment="1" applyProtection="1">
      <alignment horizontal="left" vertical="center"/>
      <protection locked="0"/>
    </xf>
    <xf numFmtId="0" fontId="0" fillId="0" borderId="28" xfId="0" applyFill="1" applyBorder="1" applyAlignment="1" applyProtection="1">
      <alignment vertical="center"/>
      <protection locked="0"/>
    </xf>
    <xf numFmtId="0" fontId="7" fillId="0" borderId="1" xfId="0" applyFont="1" applyFill="1" applyBorder="1" applyAlignment="1" applyProtection="1">
      <alignment horizontal="left" vertical="center" wrapText="1"/>
      <protection locked="0"/>
    </xf>
    <xf numFmtId="0" fontId="7" fillId="0" borderId="14" xfId="0" applyFont="1" applyFill="1" applyBorder="1" applyAlignment="1" applyProtection="1">
      <alignment horizontal="left" vertical="center" wrapText="1"/>
      <protection locked="0"/>
    </xf>
    <xf numFmtId="0" fontId="7" fillId="0" borderId="26" xfId="0" applyFont="1" applyFill="1" applyBorder="1" applyAlignment="1" applyProtection="1">
      <alignment horizontal="left" vertical="center" wrapText="1"/>
      <protection locked="0"/>
    </xf>
    <xf numFmtId="0" fontId="0" fillId="0" borderId="1" xfId="0" applyFill="1" applyBorder="1" applyAlignment="1" applyProtection="1">
      <alignment horizontal="left" wrapText="1"/>
      <protection locked="0"/>
    </xf>
    <xf numFmtId="0" fontId="0" fillId="0" borderId="14" xfId="0" applyFill="1" applyBorder="1" applyAlignment="1" applyProtection="1">
      <alignment horizontal="left" wrapText="1"/>
      <protection locked="0"/>
    </xf>
    <xf numFmtId="0" fontId="0" fillId="0" borderId="26" xfId="0" applyFill="1" applyBorder="1" applyAlignment="1" applyProtection="1">
      <alignment horizontal="left" wrapText="1"/>
      <protection locked="0"/>
    </xf>
    <xf numFmtId="0" fontId="0" fillId="0" borderId="28" xfId="0" applyFill="1" applyBorder="1" applyAlignment="1" applyProtection="1">
      <alignment horizontal="left" wrapText="1"/>
      <protection locked="0"/>
    </xf>
    <xf numFmtId="0" fontId="0" fillId="0" borderId="29" xfId="0" applyFill="1" applyBorder="1" applyAlignment="1" applyProtection="1">
      <alignment horizontal="left" wrapText="1"/>
      <protection locked="0"/>
    </xf>
    <xf numFmtId="0" fontId="0" fillId="0" borderId="30" xfId="0" applyFill="1" applyBorder="1" applyAlignment="1" applyProtection="1">
      <alignment horizontal="left" wrapText="1"/>
      <protection locked="0"/>
    </xf>
    <xf numFmtId="2" fontId="36" fillId="0" borderId="38" xfId="0" applyNumberFormat="1" applyFont="1" applyFill="1" applyBorder="1" applyAlignment="1" applyProtection="1">
      <alignment horizontal="center" vertical="center"/>
      <protection hidden="1"/>
    </xf>
    <xf numFmtId="0" fontId="23" fillId="28" borderId="1" xfId="1" applyFont="1" applyFill="1" applyBorder="1" applyAlignment="1" applyProtection="1">
      <alignment horizontal="center" vertical="center"/>
    </xf>
    <xf numFmtId="0" fontId="23" fillId="11" borderId="117" xfId="1" applyFont="1" applyFill="1" applyBorder="1" applyAlignment="1" applyProtection="1">
      <alignment horizontal="center" vertical="center"/>
      <protection hidden="1"/>
    </xf>
    <xf numFmtId="0" fontId="3" fillId="28" borderId="117" xfId="1" applyFont="1" applyFill="1" applyBorder="1" applyAlignment="1" applyProtection="1">
      <alignment horizontal="center" vertical="center"/>
      <protection hidden="1"/>
    </xf>
    <xf numFmtId="0" fontId="79" fillId="11" borderId="117" xfId="0" applyFont="1" applyFill="1" applyBorder="1" applyAlignment="1">
      <alignment horizontal="center" vertical="center"/>
    </xf>
    <xf numFmtId="0" fontId="30" fillId="35" borderId="117" xfId="0" applyFont="1" applyFill="1" applyBorder="1" applyAlignment="1" applyProtection="1">
      <alignment horizontal="center" vertical="center"/>
      <protection locked="0"/>
    </xf>
    <xf numFmtId="0" fontId="85" fillId="15" borderId="0" xfId="0" applyFont="1" applyFill="1" applyProtection="1">
      <protection hidden="1"/>
    </xf>
    <xf numFmtId="49" fontId="10" fillId="11" borderId="7" xfId="0" applyNumberFormat="1" applyFont="1" applyFill="1" applyBorder="1" applyAlignment="1">
      <alignment horizontal="center" vertical="center"/>
    </xf>
    <xf numFmtId="49" fontId="10" fillId="11" borderId="7" xfId="0" applyNumberFormat="1" applyFont="1" applyFill="1" applyBorder="1" applyAlignment="1">
      <alignment vertical="center"/>
    </xf>
    <xf numFmtId="0" fontId="8" fillId="11" borderId="1" xfId="0" applyFont="1" applyFill="1" applyBorder="1" applyAlignment="1" applyProtection="1">
      <alignment horizontal="center"/>
      <protection hidden="1"/>
    </xf>
    <xf numFmtId="0" fontId="8" fillId="11" borderId="1" xfId="0" applyFont="1" applyFill="1" applyBorder="1" applyAlignment="1" applyProtection="1">
      <protection hidden="1"/>
    </xf>
    <xf numFmtId="0" fontId="8" fillId="11" borderId="1" xfId="0" applyFont="1" applyFill="1" applyBorder="1" applyAlignment="1" applyProtection="1">
      <alignment horizontal="center" vertical="center"/>
      <protection hidden="1"/>
    </xf>
    <xf numFmtId="0" fontId="12" fillId="11" borderId="10" xfId="0" applyFont="1" applyFill="1" applyBorder="1" applyAlignment="1" applyProtection="1">
      <alignment horizontal="center" vertical="center" wrapText="1"/>
      <protection locked="0"/>
    </xf>
    <xf numFmtId="0" fontId="29" fillId="11" borderId="10" xfId="0" applyFont="1" applyFill="1" applyBorder="1" applyAlignment="1" applyProtection="1">
      <alignment horizontal="left" vertical="center" wrapText="1"/>
      <protection hidden="1"/>
    </xf>
    <xf numFmtId="0" fontId="12" fillId="11" borderId="10" xfId="0" applyFont="1" applyFill="1" applyBorder="1" applyAlignment="1" applyProtection="1">
      <alignment horizontal="left" vertical="center" wrapText="1"/>
      <protection hidden="1"/>
    </xf>
    <xf numFmtId="0" fontId="10" fillId="11" borderId="7" xfId="0" applyFont="1" applyFill="1" applyBorder="1" applyAlignment="1" applyProtection="1">
      <alignment horizontal="center" vertical="center" wrapText="1"/>
      <protection locked="0"/>
    </xf>
    <xf numFmtId="0" fontId="64" fillId="0" borderId="0" xfId="0" applyFont="1"/>
    <xf numFmtId="0" fontId="64" fillId="0" borderId="0" xfId="0" quotePrefix="1" applyFont="1" applyAlignment="1">
      <alignment horizontal="right"/>
    </xf>
    <xf numFmtId="0" fontId="64" fillId="0" borderId="0" xfId="0" quotePrefix="1" applyFont="1" applyAlignment="1">
      <alignment horizontal="right" vertical="center"/>
    </xf>
    <xf numFmtId="0" fontId="64" fillId="0" borderId="0" xfId="0" applyFont="1" applyAlignment="1">
      <alignment horizontal="left" vertical="top" wrapText="1"/>
    </xf>
    <xf numFmtId="0" fontId="64" fillId="0" borderId="1" xfId="0" applyFont="1" applyBorder="1" applyAlignment="1">
      <alignment horizontal="center" vertical="center"/>
    </xf>
    <xf numFmtId="0" fontId="64" fillId="0" borderId="37" xfId="0" applyFont="1" applyBorder="1" applyAlignment="1">
      <alignment horizontal="center" vertical="center"/>
    </xf>
    <xf numFmtId="0" fontId="64" fillId="0" borderId="46" xfId="0" applyFont="1" applyBorder="1" applyAlignment="1">
      <alignment horizontal="center" vertical="center"/>
    </xf>
    <xf numFmtId="0" fontId="64" fillId="0" borderId="40" xfId="0" applyFont="1" applyBorder="1" applyAlignment="1">
      <alignment horizontal="center" vertical="center"/>
    </xf>
    <xf numFmtId="0" fontId="64" fillId="0" borderId="1" xfId="0" applyFont="1" applyBorder="1" applyAlignment="1">
      <alignment horizontal="center" vertical="center" wrapText="1"/>
    </xf>
    <xf numFmtId="0" fontId="0" fillId="0" borderId="7" xfId="0" quotePrefix="1" applyFill="1" applyBorder="1" applyAlignment="1" applyProtection="1">
      <alignment horizontal="center"/>
      <protection locked="0"/>
    </xf>
    <xf numFmtId="0" fontId="72" fillId="0" borderId="1" xfId="0" applyFont="1" applyFill="1" applyBorder="1" applyAlignment="1">
      <alignment horizontal="center" vertical="center"/>
    </xf>
    <xf numFmtId="49" fontId="0" fillId="0" borderId="10" xfId="0" quotePrefix="1" applyNumberFormat="1" applyBorder="1" applyAlignment="1">
      <alignment horizontal="center" vertical="center"/>
    </xf>
    <xf numFmtId="0" fontId="87" fillId="36" borderId="1" xfId="0" applyFont="1" applyFill="1" applyBorder="1" applyAlignment="1" applyProtection="1">
      <alignment horizontal="center" vertical="center"/>
      <protection locked="0" hidden="1"/>
    </xf>
    <xf numFmtId="1" fontId="88" fillId="0" borderId="46" xfId="0" applyNumberFormat="1" applyFont="1" applyFill="1" applyBorder="1" applyAlignment="1" applyProtection="1">
      <alignment horizontal="center" vertical="center" wrapText="1"/>
      <protection hidden="1"/>
    </xf>
    <xf numFmtId="0" fontId="90" fillId="12" borderId="0" xfId="0" applyFont="1" applyFill="1" applyAlignment="1" applyProtection="1">
      <alignment vertical="center"/>
      <protection hidden="1"/>
    </xf>
    <xf numFmtId="0" fontId="91" fillId="12" borderId="0" xfId="0" applyFont="1" applyFill="1" applyAlignment="1" applyProtection="1">
      <alignment vertical="center"/>
      <protection hidden="1"/>
    </xf>
    <xf numFmtId="0" fontId="0" fillId="0" borderId="0" xfId="0" applyAlignment="1">
      <alignment vertical="center"/>
    </xf>
    <xf numFmtId="0" fontId="93" fillId="12" borderId="0" xfId="0" applyFont="1" applyFill="1"/>
    <xf numFmtId="0" fontId="96" fillId="12" borderId="0" xfId="0" applyFont="1" applyFill="1"/>
    <xf numFmtId="0" fontId="93" fillId="0" borderId="0" xfId="0" applyFont="1"/>
    <xf numFmtId="0" fontId="97" fillId="12" borderId="0" xfId="0" applyFont="1" applyFill="1"/>
    <xf numFmtId="0" fontId="97" fillId="12" borderId="0" xfId="0" applyFont="1" applyFill="1" applyAlignment="1"/>
    <xf numFmtId="0" fontId="93" fillId="0" borderId="0" xfId="0" applyFont="1" applyFill="1" applyBorder="1"/>
    <xf numFmtId="0" fontId="8" fillId="0" borderId="0" xfId="0" applyFont="1"/>
    <xf numFmtId="0" fontId="8" fillId="0" borderId="0" xfId="0" applyFont="1" applyFill="1"/>
    <xf numFmtId="0" fontId="8" fillId="0" borderId="0" xfId="0" applyFont="1" applyFill="1" applyAlignment="1">
      <alignment horizontal="center" vertical="center"/>
    </xf>
    <xf numFmtId="0" fontId="8" fillId="0" borderId="0" xfId="0" applyFont="1" applyFill="1" applyAlignment="1"/>
    <xf numFmtId="0" fontId="8" fillId="0" borderId="0" xfId="0" applyFont="1" applyFill="1" applyAlignment="1">
      <alignment horizontal="left" vertical="center"/>
    </xf>
    <xf numFmtId="0" fontId="8" fillId="0" borderId="0" xfId="0" applyFont="1" applyFill="1" applyAlignment="1">
      <alignment horizontal="left"/>
    </xf>
    <xf numFmtId="0" fontId="8" fillId="0" borderId="0" xfId="0" applyFont="1" applyBorder="1" applyAlignment="1">
      <alignment vertical="center"/>
    </xf>
    <xf numFmtId="49" fontId="8" fillId="0" borderId="0" xfId="0" applyNumberFormat="1" applyFont="1"/>
    <xf numFmtId="0" fontId="8" fillId="0" borderId="0" xfId="0" applyFont="1" applyAlignment="1">
      <alignment vertical="top"/>
    </xf>
    <xf numFmtId="49" fontId="8" fillId="0" borderId="0" xfId="0" applyNumberFormat="1" applyFont="1" applyBorder="1" applyAlignment="1">
      <alignment horizontal="left"/>
    </xf>
    <xf numFmtId="49" fontId="8" fillId="0" borderId="0" xfId="0" applyNumberFormat="1" applyFont="1" applyBorder="1" applyAlignment="1"/>
    <xf numFmtId="0" fontId="100" fillId="0" borderId="0" xfId="0" applyFont="1"/>
    <xf numFmtId="0" fontId="9" fillId="0" borderId="0" xfId="0" applyFont="1" applyBorder="1" applyAlignment="1"/>
    <xf numFmtId="0" fontId="98" fillId="0" borderId="0" xfId="0" applyFont="1" applyBorder="1" applyAlignment="1">
      <alignment vertical="center"/>
    </xf>
    <xf numFmtId="0" fontId="18" fillId="12" borderId="0" xfId="0" applyFont="1" applyFill="1" applyAlignment="1" applyProtection="1">
      <alignment vertical="center"/>
      <protection hidden="1"/>
    </xf>
    <xf numFmtId="0" fontId="18" fillId="12" borderId="0" xfId="0" applyFont="1" applyFill="1" applyAlignment="1" applyProtection="1">
      <alignment horizontal="left" vertical="center"/>
      <protection hidden="1"/>
    </xf>
    <xf numFmtId="49" fontId="18" fillId="12" borderId="0" xfId="0" applyNumberFormat="1" applyFont="1" applyFill="1" applyAlignment="1" applyProtection="1">
      <alignment horizontal="left" vertical="center"/>
      <protection hidden="1"/>
    </xf>
    <xf numFmtId="0" fontId="34" fillId="12" borderId="0" xfId="0" applyFont="1" applyFill="1" applyAlignment="1" applyProtection="1">
      <alignment vertical="center"/>
      <protection hidden="1"/>
    </xf>
    <xf numFmtId="0" fontId="101" fillId="12" borderId="0" xfId="0" applyFont="1" applyFill="1" applyAlignment="1" applyProtection="1">
      <alignment vertical="center"/>
      <protection hidden="1"/>
    </xf>
    <xf numFmtId="0" fontId="93" fillId="0" borderId="0" xfId="0" applyFont="1" applyProtection="1">
      <protection hidden="1"/>
    </xf>
    <xf numFmtId="0" fontId="102" fillId="12" borderId="1" xfId="0" applyFont="1" applyFill="1" applyBorder="1" applyAlignment="1" applyProtection="1">
      <alignment horizontal="center" vertical="center"/>
      <protection hidden="1"/>
    </xf>
    <xf numFmtId="0" fontId="35" fillId="12" borderId="14" xfId="0" applyFont="1" applyFill="1" applyBorder="1" applyAlignment="1" applyProtection="1">
      <alignment horizontal="left" vertical="center" indent="1"/>
      <protection hidden="1"/>
    </xf>
    <xf numFmtId="16" fontId="36" fillId="12" borderId="1" xfId="0" quotePrefix="1" applyNumberFormat="1" applyFont="1" applyFill="1" applyBorder="1" applyAlignment="1" applyProtection="1">
      <alignment horizontal="center" vertical="center"/>
      <protection hidden="1"/>
    </xf>
    <xf numFmtId="0" fontId="36" fillId="12" borderId="1" xfId="0" applyFont="1" applyFill="1" applyBorder="1" applyAlignment="1" applyProtection="1">
      <alignment horizontal="center" vertical="center"/>
      <protection hidden="1"/>
    </xf>
    <xf numFmtId="0" fontId="36" fillId="12" borderId="6" xfId="0" applyFont="1" applyFill="1" applyBorder="1" applyAlignment="1" applyProtection="1">
      <alignment horizontal="center" vertical="center"/>
      <protection hidden="1"/>
    </xf>
    <xf numFmtId="0" fontId="36" fillId="12" borderId="12" xfId="0" quotePrefix="1" applyFont="1" applyFill="1" applyBorder="1" applyAlignment="1" applyProtection="1">
      <alignment vertical="center"/>
      <protection hidden="1"/>
    </xf>
    <xf numFmtId="0" fontId="36" fillId="12" borderId="13" xfId="0" quotePrefix="1" applyFont="1" applyFill="1" applyBorder="1" applyAlignment="1" applyProtection="1">
      <alignment vertical="center"/>
      <protection hidden="1"/>
    </xf>
    <xf numFmtId="0" fontId="35" fillId="12" borderId="6" xfId="0" applyFont="1" applyFill="1" applyBorder="1" applyAlignment="1" applyProtection="1">
      <alignment horizontal="left" vertical="center" indent="1"/>
      <protection hidden="1"/>
    </xf>
    <xf numFmtId="0" fontId="36" fillId="12" borderId="14" xfId="0" applyNumberFormat="1" applyFont="1" applyFill="1" applyBorder="1" applyAlignment="1" applyProtection="1">
      <alignment horizontal="center" vertical="center"/>
      <protection hidden="1"/>
    </xf>
    <xf numFmtId="0" fontId="36" fillId="12" borderId="14" xfId="0" applyFont="1" applyFill="1" applyBorder="1" applyAlignment="1" applyProtection="1">
      <alignment horizontal="left" vertical="center" indent="1"/>
      <protection hidden="1"/>
    </xf>
    <xf numFmtId="0" fontId="36" fillId="12" borderId="14" xfId="0" applyFont="1" applyFill="1" applyBorder="1" applyAlignment="1" applyProtection="1">
      <alignment vertical="center"/>
      <protection hidden="1"/>
    </xf>
    <xf numFmtId="0" fontId="35" fillId="12" borderId="31" xfId="0" applyFont="1" applyFill="1" applyBorder="1" applyAlignment="1" applyProtection="1">
      <alignment horizontal="left" vertical="center" indent="1"/>
      <protection hidden="1"/>
    </xf>
    <xf numFmtId="0" fontId="36" fillId="12" borderId="32" xfId="0" applyFont="1" applyFill="1" applyBorder="1" applyAlignment="1" applyProtection="1">
      <alignment horizontal="left" vertical="center" indent="1"/>
      <protection hidden="1"/>
    </xf>
    <xf numFmtId="0" fontId="36" fillId="12" borderId="33" xfId="0" applyNumberFormat="1" applyFont="1" applyFill="1" applyBorder="1" applyAlignment="1" applyProtection="1">
      <alignment horizontal="center" vertical="center"/>
      <protection hidden="1"/>
    </xf>
    <xf numFmtId="0" fontId="36" fillId="12" borderId="33" xfId="0" applyFont="1" applyFill="1" applyBorder="1" applyAlignment="1" applyProtection="1">
      <alignment vertical="center"/>
      <protection hidden="1"/>
    </xf>
    <xf numFmtId="0" fontId="35" fillId="12" borderId="6" xfId="0" applyFont="1" applyFill="1" applyBorder="1" applyAlignment="1" applyProtection="1">
      <alignment horizontal="center" vertical="center"/>
      <protection hidden="1"/>
    </xf>
    <xf numFmtId="0" fontId="35" fillId="12" borderId="32" xfId="0" applyFont="1" applyFill="1" applyBorder="1" applyAlignment="1" applyProtection="1">
      <alignment horizontal="left" vertical="center"/>
      <protection hidden="1"/>
    </xf>
    <xf numFmtId="0" fontId="35" fillId="12" borderId="14" xfId="0" applyFont="1" applyFill="1" applyBorder="1" applyAlignment="1" applyProtection="1">
      <alignment horizontal="left" vertical="center"/>
      <protection hidden="1"/>
    </xf>
    <xf numFmtId="2" fontId="36" fillId="12" borderId="14" xfId="0" applyNumberFormat="1" applyFont="1" applyFill="1" applyBorder="1" applyAlignment="1" applyProtection="1">
      <alignment horizontal="center" vertical="center"/>
      <protection hidden="1"/>
    </xf>
    <xf numFmtId="0" fontId="36" fillId="12" borderId="14" xfId="0" quotePrefix="1" applyFont="1" applyFill="1" applyBorder="1" applyAlignment="1" applyProtection="1">
      <alignment horizontal="center" vertical="center"/>
      <protection hidden="1"/>
    </xf>
    <xf numFmtId="0" fontId="36" fillId="12" borderId="15" xfId="0" applyFont="1" applyFill="1" applyBorder="1" applyAlignment="1" applyProtection="1">
      <alignment horizontal="center" vertical="center"/>
      <protection hidden="1"/>
    </xf>
    <xf numFmtId="0" fontId="93" fillId="0" borderId="0" xfId="0" applyFont="1" applyFill="1" applyProtection="1">
      <protection hidden="1"/>
    </xf>
    <xf numFmtId="0" fontId="104" fillId="0" borderId="0" xfId="0" applyFont="1" applyAlignment="1">
      <alignment vertical="center"/>
    </xf>
    <xf numFmtId="0" fontId="102" fillId="0" borderId="0" xfId="0" applyFont="1" applyAlignment="1">
      <alignment vertical="center"/>
    </xf>
    <xf numFmtId="0" fontId="24" fillId="11" borderId="1" xfId="0" applyFont="1" applyFill="1" applyBorder="1" applyAlignment="1" applyProtection="1">
      <alignment horizontal="center"/>
      <protection hidden="1"/>
    </xf>
    <xf numFmtId="0" fontId="36" fillId="12" borderId="0" xfId="0" applyFont="1" applyFill="1" applyBorder="1" applyAlignment="1" applyProtection="1">
      <alignment horizontal="center" vertical="center"/>
      <protection hidden="1"/>
    </xf>
    <xf numFmtId="0" fontId="36" fillId="12" borderId="0" xfId="0" applyFont="1" applyFill="1" applyBorder="1" applyAlignment="1" applyProtection="1">
      <alignment horizontal="left" vertical="center"/>
      <protection hidden="1"/>
    </xf>
    <xf numFmtId="2" fontId="36" fillId="12" borderId="0" xfId="0" applyNumberFormat="1" applyFont="1" applyFill="1" applyBorder="1" applyAlignment="1" applyProtection="1">
      <alignment horizontal="center" vertical="center"/>
      <protection hidden="1"/>
    </xf>
    <xf numFmtId="0" fontId="36" fillId="12" borderId="0" xfId="0" quotePrefix="1" applyFont="1" applyFill="1" applyBorder="1" applyAlignment="1" applyProtection="1">
      <alignment horizontal="center" vertical="center"/>
      <protection hidden="1"/>
    </xf>
    <xf numFmtId="0" fontId="36" fillId="12" borderId="0" xfId="0" applyFont="1" applyFill="1" applyBorder="1" applyAlignment="1" applyProtection="1">
      <alignment horizontal="left" vertical="top" wrapText="1"/>
      <protection hidden="1"/>
    </xf>
    <xf numFmtId="0" fontId="18" fillId="12" borderId="1" xfId="0" applyFont="1" applyFill="1" applyBorder="1" applyAlignment="1" applyProtection="1">
      <alignment horizontal="center" vertical="center"/>
      <protection hidden="1"/>
    </xf>
    <xf numFmtId="0" fontId="34" fillId="12" borderId="0" xfId="0" applyFont="1" applyFill="1" applyBorder="1" applyAlignment="1" applyProtection="1">
      <alignment vertical="center"/>
      <protection hidden="1"/>
    </xf>
    <xf numFmtId="2" fontId="34" fillId="12" borderId="0" xfId="0" applyNumberFormat="1" applyFont="1" applyFill="1" applyBorder="1" applyAlignment="1" applyProtection="1">
      <alignment vertical="center"/>
      <protection hidden="1"/>
    </xf>
    <xf numFmtId="0" fontId="101" fillId="12" borderId="6" xfId="0" applyFont="1" applyFill="1" applyBorder="1" applyAlignment="1" applyProtection="1">
      <alignment horizontal="left" vertical="center"/>
      <protection hidden="1"/>
    </xf>
    <xf numFmtId="0" fontId="101" fillId="12" borderId="14" xfId="0" applyFont="1" applyFill="1" applyBorder="1" applyAlignment="1" applyProtection="1">
      <alignment horizontal="center" vertical="center"/>
      <protection hidden="1"/>
    </xf>
    <xf numFmtId="0" fontId="35" fillId="12" borderId="14" xfId="0" applyFont="1" applyFill="1" applyBorder="1" applyAlignment="1" applyProtection="1">
      <alignment horizontal="center" vertical="center"/>
      <protection hidden="1"/>
    </xf>
    <xf numFmtId="0" fontId="35" fillId="12" borderId="15" xfId="0" applyFont="1" applyFill="1" applyBorder="1" applyAlignment="1" applyProtection="1">
      <alignment horizontal="center" vertical="center"/>
      <protection hidden="1"/>
    </xf>
    <xf numFmtId="0" fontId="33" fillId="12" borderId="14" xfId="0" applyFont="1" applyFill="1" applyBorder="1" applyAlignment="1" applyProtection="1">
      <alignment vertical="center"/>
      <protection hidden="1"/>
    </xf>
    <xf numFmtId="0" fontId="33" fillId="12" borderId="0" xfId="0" applyFont="1" applyFill="1" applyBorder="1" applyAlignment="1" applyProtection="1">
      <protection hidden="1"/>
    </xf>
    <xf numFmtId="0" fontId="18" fillId="12" borderId="6" xfId="0" applyFont="1" applyFill="1" applyBorder="1" applyAlignment="1" applyProtection="1">
      <alignment horizontal="left" vertical="center" indent="1"/>
      <protection hidden="1"/>
    </xf>
    <xf numFmtId="0" fontId="106" fillId="12" borderId="14" xfId="0" applyFont="1" applyFill="1" applyBorder="1" applyAlignment="1" applyProtection="1">
      <alignment vertical="center"/>
      <protection hidden="1"/>
    </xf>
    <xf numFmtId="2" fontId="33" fillId="12" borderId="0" xfId="0" applyNumberFormat="1" applyFont="1" applyFill="1" applyBorder="1" applyAlignment="1" applyProtection="1">
      <protection hidden="1"/>
    </xf>
    <xf numFmtId="0" fontId="18" fillId="12" borderId="0" xfId="0" applyFont="1" applyFill="1" applyBorder="1" applyAlignment="1" applyProtection="1">
      <alignment vertical="center"/>
      <protection hidden="1"/>
    </xf>
    <xf numFmtId="0" fontId="106" fillId="12" borderId="15" xfId="0" applyFont="1" applyFill="1" applyBorder="1" applyAlignment="1" applyProtection="1">
      <alignment vertical="center"/>
      <protection hidden="1"/>
    </xf>
    <xf numFmtId="0" fontId="34" fillId="12" borderId="0" xfId="0" applyFont="1" applyFill="1" applyAlignment="1" applyProtection="1">
      <alignment horizontal="left" vertical="center" indent="4"/>
      <protection hidden="1"/>
    </xf>
    <xf numFmtId="0" fontId="33" fillId="12" borderId="0" xfId="0" applyFont="1" applyFill="1" applyAlignment="1" applyProtection="1">
      <alignment vertical="center"/>
      <protection hidden="1"/>
    </xf>
    <xf numFmtId="1" fontId="87" fillId="36" borderId="1" xfId="0" applyNumberFormat="1" applyFont="1" applyFill="1" applyBorder="1" applyAlignment="1" applyProtection="1">
      <alignment horizontal="center" vertical="center"/>
      <protection locked="0" hidden="1"/>
    </xf>
    <xf numFmtId="0" fontId="10" fillId="0" borderId="1"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0" borderId="1" xfId="0" applyFont="1" applyBorder="1" applyAlignment="1" applyProtection="1">
      <alignment horizontal="left" wrapText="1"/>
      <protection locked="0"/>
    </xf>
    <xf numFmtId="0" fontId="10" fillId="0" borderId="14" xfId="0" applyFont="1" applyBorder="1" applyAlignment="1" applyProtection="1">
      <alignment horizontal="left" vertical="center" wrapText="1"/>
      <protection locked="0"/>
    </xf>
    <xf numFmtId="0" fontId="0" fillId="0" borderId="14" xfId="0" applyFont="1" applyBorder="1" applyAlignment="1" applyProtection="1">
      <alignment horizontal="left" vertical="center" wrapText="1"/>
      <protection locked="0"/>
    </xf>
    <xf numFmtId="0" fontId="0" fillId="0" borderId="14" xfId="0" applyFont="1" applyBorder="1" applyAlignment="1" applyProtection="1">
      <alignment horizontal="left" wrapText="1"/>
      <protection locked="0"/>
    </xf>
    <xf numFmtId="0" fontId="10" fillId="0" borderId="26" xfId="0" applyFont="1" applyBorder="1" applyAlignment="1" applyProtection="1">
      <alignment horizontal="left" vertical="center" wrapText="1"/>
      <protection locked="0"/>
    </xf>
    <xf numFmtId="0" fontId="0" fillId="0" borderId="26" xfId="0" applyFont="1" applyBorder="1" applyAlignment="1" applyProtection="1">
      <alignment horizontal="left" vertical="center" wrapText="1"/>
      <protection locked="0"/>
    </xf>
    <xf numFmtId="0" fontId="0" fillId="0" borderId="26" xfId="0" applyFont="1" applyBorder="1" applyAlignment="1" applyProtection="1">
      <alignment horizontal="left" wrapText="1"/>
      <protection locked="0"/>
    </xf>
    <xf numFmtId="0" fontId="25" fillId="0" borderId="119" xfId="0" applyFont="1" applyBorder="1" applyAlignment="1">
      <alignment vertical="center" wrapText="1"/>
    </xf>
    <xf numFmtId="0" fontId="25" fillId="0" borderId="117" xfId="0" applyFont="1" applyBorder="1" applyAlignment="1">
      <alignment vertical="center" wrapText="1"/>
    </xf>
    <xf numFmtId="167" fontId="108" fillId="0" borderId="120" xfId="0" applyNumberFormat="1" applyFont="1" applyBorder="1" applyAlignment="1" applyProtection="1">
      <alignment horizontal="center"/>
      <protection locked="0"/>
    </xf>
    <xf numFmtId="15" fontId="25" fillId="0" borderId="1" xfId="0" applyNumberFormat="1" applyFont="1" applyBorder="1" applyAlignment="1">
      <alignment horizontal="center"/>
    </xf>
    <xf numFmtId="167" fontId="108" fillId="0" borderId="1" xfId="0" applyNumberFormat="1" applyFont="1" applyBorder="1" applyAlignment="1" applyProtection="1">
      <alignment horizontal="center"/>
    </xf>
    <xf numFmtId="0" fontId="108" fillId="0" borderId="5" xfId="0" applyFont="1" applyBorder="1" applyAlignment="1" applyProtection="1">
      <alignment horizontal="center" vertical="center"/>
      <protection locked="0"/>
    </xf>
    <xf numFmtId="0" fontId="108" fillId="0" borderId="120" xfId="0" applyFont="1" applyBorder="1" applyAlignment="1" applyProtection="1">
      <alignment horizontal="center" vertical="center"/>
      <protection locked="0"/>
    </xf>
    <xf numFmtId="0" fontId="108" fillId="0" borderId="6" xfId="0" applyFont="1" applyBorder="1" applyAlignment="1" applyProtection="1">
      <alignment horizontal="center" vertical="center"/>
      <protection locked="0"/>
    </xf>
    <xf numFmtId="0" fontId="108" fillId="0" borderId="5" xfId="0" applyFont="1" applyBorder="1" applyAlignment="1" applyProtection="1">
      <alignment horizontal="center" vertical="center"/>
    </xf>
    <xf numFmtId="0" fontId="108" fillId="0" borderId="1" xfId="0" applyFont="1" applyBorder="1" applyAlignment="1" applyProtection="1">
      <alignment horizontal="center"/>
      <protection locked="0"/>
    </xf>
    <xf numFmtId="0" fontId="25" fillId="0" borderId="118" xfId="0" applyFont="1" applyBorder="1" applyAlignment="1">
      <alignment vertical="center" wrapText="1"/>
    </xf>
    <xf numFmtId="0" fontId="25" fillId="0" borderId="0" xfId="0" applyFont="1"/>
    <xf numFmtId="0" fontId="108" fillId="0" borderId="1" xfId="0" applyFont="1" applyBorder="1" applyProtection="1">
      <protection locked="0"/>
    </xf>
    <xf numFmtId="0" fontId="25" fillId="0" borderId="119" xfId="0" applyFont="1" applyBorder="1" applyAlignment="1">
      <alignment horizontal="center" vertical="center" wrapText="1"/>
    </xf>
    <xf numFmtId="0" fontId="25" fillId="0" borderId="117" xfId="0" applyFont="1" applyBorder="1" applyAlignment="1">
      <alignment horizontal="center" vertical="center" wrapText="1"/>
    </xf>
    <xf numFmtId="1" fontId="0" fillId="0" borderId="1" xfId="0" applyNumberFormat="1" applyFont="1" applyFill="1" applyBorder="1" applyAlignment="1" applyProtection="1">
      <alignment horizontal="center" vertical="center"/>
      <protection locked="0"/>
    </xf>
    <xf numFmtId="0" fontId="111" fillId="0" borderId="1" xfId="0" applyFont="1" applyBorder="1" applyAlignment="1" applyProtection="1">
      <alignment horizontal="left" wrapText="1"/>
      <protection locked="0"/>
    </xf>
    <xf numFmtId="0" fontId="70" fillId="0" borderId="14" xfId="0" applyFont="1" applyBorder="1" applyAlignment="1" applyProtection="1">
      <alignment horizontal="center" vertical="center"/>
      <protection locked="0"/>
    </xf>
    <xf numFmtId="1" fontId="0" fillId="0" borderId="46" xfId="0" applyNumberFormat="1" applyFont="1" applyBorder="1" applyAlignment="1">
      <alignment horizontal="center" vertical="center"/>
    </xf>
    <xf numFmtId="1" fontId="0" fillId="0" borderId="1" xfId="0" applyNumberFormat="1" applyFont="1" applyBorder="1" applyAlignment="1">
      <alignment horizontal="center" vertical="center"/>
    </xf>
    <xf numFmtId="0" fontId="111" fillId="0" borderId="14" xfId="0" applyFont="1" applyBorder="1" applyAlignment="1" applyProtection="1">
      <alignment horizontal="left" wrapText="1"/>
      <protection locked="0"/>
    </xf>
    <xf numFmtId="0" fontId="111" fillId="0" borderId="14" xfId="0" applyFont="1" applyBorder="1" applyAlignment="1" applyProtection="1">
      <alignment horizontal="left" vertical="center" wrapText="1"/>
      <protection locked="0"/>
    </xf>
    <xf numFmtId="0" fontId="111" fillId="0" borderId="26" xfId="0" applyFont="1" applyBorder="1" applyAlignment="1" applyProtection="1">
      <alignment horizontal="left" vertical="top" wrapText="1"/>
      <protection locked="0"/>
    </xf>
    <xf numFmtId="0" fontId="7" fillId="0" borderId="26" xfId="0" applyFont="1" applyBorder="1" applyAlignment="1" applyProtection="1">
      <alignment horizontal="left" vertical="top" wrapText="1"/>
      <protection locked="0"/>
    </xf>
    <xf numFmtId="0" fontId="111" fillId="0" borderId="26" xfId="0" applyFont="1" applyBorder="1" applyAlignment="1" applyProtection="1">
      <alignment horizontal="left" vertical="center" wrapText="1"/>
      <protection locked="0"/>
    </xf>
    <xf numFmtId="0" fontId="111" fillId="0" borderId="1" xfId="0" applyFont="1" applyBorder="1" applyAlignment="1" applyProtection="1">
      <alignment vertical="center" wrapText="1"/>
      <protection locked="0"/>
    </xf>
    <xf numFmtId="0" fontId="111" fillId="0" borderId="14" xfId="0" applyFont="1" applyBorder="1" applyAlignment="1" applyProtection="1">
      <alignment vertical="center" wrapText="1"/>
      <protection locked="0"/>
    </xf>
    <xf numFmtId="0" fontId="111" fillId="0" borderId="14" xfId="0" applyFont="1" applyBorder="1" applyAlignment="1" applyProtection="1">
      <alignment horizontal="left" vertical="top" wrapText="1"/>
      <protection locked="0"/>
    </xf>
    <xf numFmtId="0" fontId="7" fillId="0" borderId="26" xfId="0" applyFont="1" applyBorder="1" applyAlignment="1" applyProtection="1">
      <alignment vertical="top" wrapText="1"/>
      <protection locked="0"/>
    </xf>
    <xf numFmtId="0" fontId="111" fillId="0" borderId="26" xfId="0" applyFont="1" applyBorder="1" applyAlignment="1" applyProtection="1">
      <alignment vertical="top" wrapText="1"/>
      <protection locked="0"/>
    </xf>
    <xf numFmtId="15" fontId="108" fillId="0" borderId="1" xfId="0" quotePrefix="1" applyNumberFormat="1" applyFont="1" applyBorder="1" applyProtection="1">
      <protection locked="0"/>
    </xf>
    <xf numFmtId="0" fontId="70" fillId="0" borderId="26" xfId="0" applyFont="1" applyBorder="1" applyAlignment="1" applyProtection="1">
      <alignment horizontal="left" vertical="top" wrapText="1"/>
      <protection locked="0"/>
    </xf>
    <xf numFmtId="2" fontId="0" fillId="11" borderId="1" xfId="0" quotePrefix="1" applyNumberFormat="1" applyFill="1" applyBorder="1" applyProtection="1">
      <protection locked="0"/>
    </xf>
    <xf numFmtId="0" fontId="111" fillId="0" borderId="26" xfId="0" applyFont="1" applyBorder="1" applyAlignment="1" applyProtection="1">
      <alignment horizontal="left" wrapText="1"/>
      <protection locked="0"/>
    </xf>
    <xf numFmtId="0" fontId="36" fillId="0" borderId="0" xfId="0" applyFont="1" applyFill="1" applyProtection="1">
      <protection hidden="1"/>
    </xf>
    <xf numFmtId="0" fontId="36" fillId="0" borderId="0" xfId="0" applyFont="1" applyFill="1" applyAlignment="1" applyProtection="1">
      <alignment horizontal="left"/>
      <protection hidden="1"/>
    </xf>
    <xf numFmtId="0" fontId="101" fillId="0" borderId="0" xfId="0" applyFont="1" applyFill="1" applyAlignment="1" applyProtection="1">
      <alignment horizontal="left" indent="1"/>
      <protection hidden="1"/>
    </xf>
    <xf numFmtId="0" fontId="35" fillId="0" borderId="1" xfId="0" applyFont="1" applyFill="1" applyBorder="1" applyAlignment="1" applyProtection="1">
      <alignment horizontal="center" vertical="center"/>
      <protection hidden="1"/>
    </xf>
    <xf numFmtId="0" fontId="35" fillId="0" borderId="5" xfId="0" applyFont="1" applyFill="1" applyBorder="1" applyAlignment="1" applyProtection="1">
      <alignment horizontal="left" indent="1"/>
      <protection hidden="1"/>
    </xf>
    <xf numFmtId="0" fontId="36" fillId="0" borderId="32" xfId="0" applyFont="1" applyFill="1" applyBorder="1" applyProtection="1">
      <protection hidden="1"/>
    </xf>
    <xf numFmtId="0" fontId="36" fillId="0" borderId="13" xfId="0" applyFont="1" applyFill="1" applyBorder="1" applyProtection="1">
      <protection hidden="1"/>
    </xf>
    <xf numFmtId="0" fontId="35" fillId="0" borderId="31" xfId="0" applyFont="1" applyFill="1" applyBorder="1" applyAlignment="1" applyProtection="1">
      <alignment horizontal="left" vertical="center" indent="1"/>
      <protection hidden="1"/>
    </xf>
    <xf numFmtId="0" fontId="36" fillId="0" borderId="33" xfId="0" applyFont="1" applyFill="1" applyBorder="1" applyProtection="1">
      <protection hidden="1"/>
    </xf>
    <xf numFmtId="0" fontId="36" fillId="0" borderId="5" xfId="0" applyFont="1" applyFill="1" applyBorder="1" applyProtection="1">
      <protection hidden="1"/>
    </xf>
    <xf numFmtId="0" fontId="35" fillId="0" borderId="32" xfId="0" applyFont="1" applyFill="1" applyBorder="1" applyAlignment="1" applyProtection="1">
      <alignment vertical="center"/>
      <protection hidden="1"/>
    </xf>
    <xf numFmtId="0" fontId="36" fillId="0" borderId="6" xfId="0" applyFont="1" applyFill="1" applyBorder="1" applyProtection="1">
      <protection hidden="1"/>
    </xf>
    <xf numFmtId="0" fontId="35" fillId="0" borderId="14" xfId="0" applyFont="1" applyFill="1" applyBorder="1" applyAlignment="1" applyProtection="1">
      <alignment vertical="center"/>
      <protection hidden="1"/>
    </xf>
    <xf numFmtId="0" fontId="35" fillId="0" borderId="34" xfId="0" applyFont="1" applyFill="1" applyBorder="1" applyAlignment="1" applyProtection="1">
      <alignment horizontal="left" indent="1"/>
      <protection hidden="1"/>
    </xf>
    <xf numFmtId="0" fontId="35" fillId="0" borderId="33" xfId="0" applyFont="1" applyFill="1" applyBorder="1" applyAlignment="1" applyProtection="1">
      <alignment horizontal="left" indent="1"/>
      <protection hidden="1"/>
    </xf>
    <xf numFmtId="0" fontId="36" fillId="0" borderId="12" xfId="0" applyFont="1" applyFill="1" applyBorder="1" applyAlignment="1" applyProtection="1">
      <alignment horizontal="left" indent="1"/>
      <protection hidden="1"/>
    </xf>
    <xf numFmtId="0" fontId="36" fillId="0" borderId="34" xfId="0" applyFont="1" applyFill="1" applyBorder="1" applyAlignment="1" applyProtection="1">
      <alignment horizontal="left" indent="1"/>
      <protection hidden="1"/>
    </xf>
    <xf numFmtId="0" fontId="36" fillId="0" borderId="0" xfId="0" applyFont="1" applyFill="1" applyBorder="1" applyAlignment="1" applyProtection="1">
      <alignment horizontal="left" indent="1"/>
      <protection hidden="1"/>
    </xf>
    <xf numFmtId="0" fontId="35" fillId="0" borderId="0" xfId="0" applyFont="1" applyFill="1" applyProtection="1">
      <protection hidden="1"/>
    </xf>
    <xf numFmtId="49" fontId="36" fillId="0" borderId="34" xfId="0" applyNumberFormat="1" applyFont="1" applyFill="1" applyBorder="1" applyAlignment="1" applyProtection="1">
      <alignment horizontal="left" indent="1"/>
      <protection hidden="1"/>
    </xf>
    <xf numFmtId="49" fontId="36" fillId="0" borderId="0" xfId="0" applyNumberFormat="1" applyFont="1" applyFill="1" applyAlignment="1" applyProtection="1">
      <alignment horizontal="left" indent="1"/>
      <protection hidden="1"/>
    </xf>
    <xf numFmtId="0" fontId="112" fillId="0" borderId="0" xfId="0" applyFont="1" applyFill="1" applyBorder="1" applyAlignment="1" applyProtection="1">
      <alignment horizontal="left" indent="1"/>
      <protection hidden="1"/>
    </xf>
    <xf numFmtId="0" fontId="35" fillId="0" borderId="0" xfId="0" applyFont="1" applyFill="1" applyBorder="1" applyAlignment="1" applyProtection="1">
      <alignment horizontal="left" indent="1"/>
      <protection hidden="1"/>
    </xf>
    <xf numFmtId="49" fontId="36" fillId="0" borderId="32" xfId="0" applyNumberFormat="1" applyFont="1" applyFill="1" applyBorder="1" applyAlignment="1" applyProtection="1">
      <alignment horizontal="left" indent="1"/>
      <protection hidden="1"/>
    </xf>
    <xf numFmtId="0" fontId="36" fillId="0" borderId="13" xfId="0" applyFont="1" applyFill="1" applyBorder="1" applyAlignment="1" applyProtection="1">
      <alignment horizontal="left" indent="1"/>
      <protection hidden="1"/>
    </xf>
    <xf numFmtId="0" fontId="36" fillId="0" borderId="1" xfId="0" applyFont="1" applyFill="1" applyBorder="1" applyAlignment="1" applyProtection="1">
      <alignment horizontal="center" vertical="center"/>
      <protection hidden="1"/>
    </xf>
    <xf numFmtId="16" fontId="36" fillId="12" borderId="6" xfId="0" quotePrefix="1" applyNumberFormat="1" applyFont="1" applyFill="1" applyBorder="1" applyAlignment="1" applyProtection="1">
      <alignment horizontal="center" vertical="center"/>
      <protection hidden="1"/>
    </xf>
    <xf numFmtId="2" fontId="36" fillId="12" borderId="31" xfId="0" applyNumberFormat="1" applyFont="1" applyFill="1" applyBorder="1" applyAlignment="1" applyProtection="1">
      <alignment horizontal="center" vertical="center"/>
      <protection hidden="1"/>
    </xf>
    <xf numFmtId="2" fontId="36" fillId="12" borderId="5" xfId="0" applyNumberFormat="1" applyFont="1" applyFill="1" applyBorder="1" applyAlignment="1" applyProtection="1">
      <alignment horizontal="center" vertical="center"/>
      <protection hidden="1"/>
    </xf>
    <xf numFmtId="0" fontId="35" fillId="12" borderId="0" xfId="0" applyFont="1" applyFill="1" applyBorder="1" applyAlignment="1" applyProtection="1">
      <alignment horizontal="center" vertical="center"/>
      <protection hidden="1"/>
    </xf>
    <xf numFmtId="0" fontId="33" fillId="12" borderId="0" xfId="0" applyFont="1" applyFill="1" applyBorder="1" applyAlignment="1" applyProtection="1">
      <alignment vertical="center"/>
      <protection hidden="1"/>
    </xf>
    <xf numFmtId="0" fontId="106" fillId="12" borderId="0" xfId="0" applyFont="1" applyFill="1" applyBorder="1" applyAlignment="1" applyProtection="1">
      <alignment vertical="center"/>
      <protection hidden="1"/>
    </xf>
    <xf numFmtId="0" fontId="108" fillId="0" borderId="1" xfId="0" applyFont="1" applyBorder="1" applyAlignment="1" applyProtection="1">
      <alignment horizontal="left" vertical="center"/>
      <protection locked="0"/>
    </xf>
    <xf numFmtId="0" fontId="25" fillId="0" borderId="117" xfId="0" applyFont="1" applyBorder="1" applyAlignment="1">
      <alignment horizontal="left" vertical="center" wrapText="1"/>
    </xf>
    <xf numFmtId="0" fontId="108" fillId="0" borderId="46" xfId="0" applyFont="1" applyBorder="1" applyAlignment="1" applyProtection="1">
      <alignment horizontal="left" vertical="center"/>
      <protection locked="0"/>
    </xf>
    <xf numFmtId="0" fontId="25" fillId="0" borderId="119" xfId="0" applyFont="1" applyBorder="1" applyAlignment="1">
      <alignment horizontal="left" vertical="center" wrapText="1"/>
    </xf>
    <xf numFmtId="0" fontId="109" fillId="0" borderId="119" xfId="0" applyFont="1" applyBorder="1" applyAlignment="1">
      <alignment horizontal="left" vertical="center" wrapText="1"/>
    </xf>
    <xf numFmtId="0" fontId="109" fillId="0" borderId="117" xfId="0" applyFont="1" applyBorder="1" applyAlignment="1">
      <alignment horizontal="left" vertical="center" wrapText="1"/>
    </xf>
    <xf numFmtId="0" fontId="110" fillId="0" borderId="119" xfId="0" applyFont="1" applyBorder="1" applyAlignment="1">
      <alignment horizontal="left" vertical="center" wrapText="1"/>
    </xf>
    <xf numFmtId="0" fontId="108" fillId="0" borderId="46" xfId="0" applyFont="1" applyBorder="1" applyAlignment="1" applyProtection="1">
      <alignment horizontal="left" vertical="center"/>
    </xf>
    <xf numFmtId="0" fontId="36" fillId="0" borderId="33" xfId="0" applyFont="1" applyFill="1" applyBorder="1" applyAlignment="1" applyProtection="1">
      <alignment horizontal="center" vertical="center"/>
      <protection hidden="1"/>
    </xf>
    <xf numFmtId="0" fontId="36" fillId="0" borderId="32" xfId="0" applyFont="1" applyFill="1" applyBorder="1" applyAlignment="1" applyProtection="1">
      <alignment horizontal="center" vertical="center"/>
      <protection hidden="1"/>
    </xf>
    <xf numFmtId="0" fontId="36" fillId="0" borderId="14" xfId="0" applyFont="1" applyFill="1" applyBorder="1" applyAlignment="1" applyProtection="1">
      <alignment horizontal="center" vertical="center"/>
      <protection hidden="1"/>
    </xf>
    <xf numFmtId="0" fontId="36" fillId="0" borderId="33" xfId="0" applyFont="1" applyFill="1" applyBorder="1" applyAlignment="1" applyProtection="1">
      <alignment horizontal="justify" vertical="center"/>
      <protection hidden="1"/>
    </xf>
    <xf numFmtId="0" fontId="36" fillId="0" borderId="12" xfId="0" applyFont="1" applyFill="1" applyBorder="1" applyAlignment="1" applyProtection="1">
      <alignment horizontal="justify" vertical="center"/>
      <protection hidden="1"/>
    </xf>
    <xf numFmtId="0" fontId="36" fillId="0" borderId="32" xfId="0" applyFont="1" applyFill="1" applyBorder="1" applyAlignment="1" applyProtection="1">
      <alignment horizontal="justify" vertical="center"/>
      <protection hidden="1"/>
    </xf>
    <xf numFmtId="0" fontId="36" fillId="0" borderId="13" xfId="0" applyFont="1" applyFill="1" applyBorder="1" applyAlignment="1" applyProtection="1">
      <alignment horizontal="justify" vertical="center"/>
      <protection hidden="1"/>
    </xf>
    <xf numFmtId="0" fontId="36" fillId="0" borderId="14" xfId="0" applyFont="1" applyFill="1" applyBorder="1" applyAlignment="1" applyProtection="1">
      <alignment horizontal="justify" vertical="center"/>
      <protection hidden="1"/>
    </xf>
    <xf numFmtId="0" fontId="36" fillId="0" borderId="15" xfId="0" applyFont="1" applyFill="1" applyBorder="1" applyAlignment="1" applyProtection="1">
      <alignment horizontal="justify" vertical="center"/>
      <protection hidden="1"/>
    </xf>
    <xf numFmtId="0" fontId="36" fillId="0" borderId="31" xfId="0" applyFont="1" applyFill="1" applyBorder="1" applyAlignment="1" applyProtection="1">
      <alignment horizontal="center" vertical="center"/>
      <protection hidden="1"/>
    </xf>
    <xf numFmtId="0" fontId="36" fillId="0" borderId="33" xfId="0" applyFont="1" applyFill="1" applyBorder="1" applyAlignment="1" applyProtection="1">
      <alignment horizontal="left" vertical="center" indent="1"/>
      <protection hidden="1"/>
    </xf>
    <xf numFmtId="0" fontId="36" fillId="0" borderId="33" xfId="0" applyFont="1" applyFill="1" applyBorder="1" applyAlignment="1" applyProtection="1">
      <alignment horizontal="justify" vertical="center" wrapText="1"/>
      <protection hidden="1"/>
    </xf>
    <xf numFmtId="0" fontId="36" fillId="0" borderId="12" xfId="0" applyFont="1" applyFill="1" applyBorder="1" applyAlignment="1" applyProtection="1">
      <alignment horizontal="justify" vertical="center" wrapText="1"/>
      <protection hidden="1"/>
    </xf>
    <xf numFmtId="0" fontId="35" fillId="0" borderId="5" xfId="0" applyFont="1" applyFill="1" applyBorder="1" applyAlignment="1" applyProtection="1">
      <alignment horizontal="left" vertical="center" indent="1"/>
      <protection hidden="1"/>
    </xf>
    <xf numFmtId="0" fontId="76" fillId="11" borderId="82" xfId="0" applyFont="1" applyFill="1" applyBorder="1" applyAlignment="1" applyProtection="1">
      <alignment horizontal="center" vertical="center"/>
      <protection hidden="1"/>
    </xf>
    <xf numFmtId="0" fontId="76" fillId="11" borderId="0" xfId="0" applyFont="1" applyFill="1" applyBorder="1" applyAlignment="1" applyProtection="1">
      <alignment horizontal="center" vertical="center"/>
      <protection hidden="1"/>
    </xf>
    <xf numFmtId="0" fontId="76" fillId="11" borderId="83" xfId="0" applyFont="1" applyFill="1" applyBorder="1" applyAlignment="1" applyProtection="1">
      <alignment horizontal="center" vertical="center"/>
      <protection hidden="1"/>
    </xf>
    <xf numFmtId="0" fontId="0" fillId="2" borderId="91" xfId="0" applyFill="1" applyBorder="1" applyAlignment="1" applyProtection="1">
      <alignment horizontal="left"/>
      <protection hidden="1"/>
    </xf>
    <xf numFmtId="0" fontId="0" fillId="2" borderId="92" xfId="0" applyFill="1" applyBorder="1" applyAlignment="1" applyProtection="1">
      <alignment horizontal="left"/>
      <protection hidden="1"/>
    </xf>
    <xf numFmtId="0" fontId="0" fillId="2" borderId="93" xfId="0" applyFill="1" applyBorder="1" applyAlignment="1" applyProtection="1">
      <alignment horizontal="left"/>
      <protection hidden="1"/>
    </xf>
    <xf numFmtId="0" fontId="27" fillId="14" borderId="98" xfId="0" applyFont="1" applyFill="1" applyBorder="1" applyAlignment="1" applyProtection="1">
      <alignment horizontal="center" vertical="center"/>
      <protection locked="0"/>
    </xf>
    <xf numFmtId="0" fontId="27" fillId="14" borderId="99" xfId="0" applyFont="1" applyFill="1" applyBorder="1" applyAlignment="1" applyProtection="1">
      <alignment horizontal="center" vertical="center"/>
      <protection locked="0"/>
    </xf>
    <xf numFmtId="0" fontId="27" fillId="14" borderId="100" xfId="0" applyFont="1" applyFill="1" applyBorder="1" applyAlignment="1" applyProtection="1">
      <alignment horizontal="center" vertical="center"/>
      <protection locked="0"/>
    </xf>
    <xf numFmtId="0" fontId="27" fillId="14" borderId="101"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4" borderId="102" xfId="0" applyFont="1" applyFill="1" applyBorder="1" applyAlignment="1" applyProtection="1">
      <alignment horizontal="center" vertical="center"/>
      <protection locked="0"/>
    </xf>
    <xf numFmtId="0" fontId="27" fillId="14" borderId="103" xfId="0" applyFont="1" applyFill="1" applyBorder="1" applyAlignment="1" applyProtection="1">
      <alignment horizontal="center" vertical="center"/>
      <protection locked="0"/>
    </xf>
    <xf numFmtId="0" fontId="27" fillId="14" borderId="104" xfId="0" applyFont="1" applyFill="1" applyBorder="1" applyAlignment="1" applyProtection="1">
      <alignment horizontal="center" vertical="center"/>
      <protection locked="0"/>
    </xf>
    <xf numFmtId="0" fontId="27" fillId="14" borderId="105" xfId="0" applyFont="1" applyFill="1" applyBorder="1" applyAlignment="1" applyProtection="1">
      <alignment horizontal="center" vertical="center"/>
      <protection locked="0"/>
    </xf>
    <xf numFmtId="49" fontId="57" fillId="11" borderId="78" xfId="0" applyNumberFormat="1" applyFont="1" applyFill="1" applyBorder="1" applyAlignment="1" applyProtection="1">
      <alignment horizontal="left" vertical="top"/>
      <protection locked="0"/>
    </xf>
    <xf numFmtId="49" fontId="57" fillId="11" borderId="106" xfId="0" applyNumberFormat="1" applyFont="1" applyFill="1" applyBorder="1" applyAlignment="1" applyProtection="1">
      <alignment horizontal="left" vertical="top"/>
      <protection locked="0"/>
    </xf>
    <xf numFmtId="49" fontId="57" fillId="11" borderId="11" xfId="0" applyNumberFormat="1" applyFont="1" applyFill="1" applyBorder="1" applyAlignment="1" applyProtection="1">
      <alignment horizontal="left" vertical="center"/>
      <protection locked="0"/>
    </xf>
    <xf numFmtId="49" fontId="57" fillId="11" borderId="97" xfId="0" applyNumberFormat="1" applyFont="1" applyFill="1" applyBorder="1" applyAlignment="1" applyProtection="1">
      <alignment horizontal="left" vertical="center"/>
      <protection locked="0"/>
    </xf>
    <xf numFmtId="0" fontId="57" fillId="11" borderId="11" xfId="0" applyFont="1" applyFill="1" applyBorder="1" applyAlignment="1" applyProtection="1">
      <alignment horizontal="left" vertical="center"/>
      <protection locked="0"/>
    </xf>
    <xf numFmtId="0" fontId="57" fillId="11" borderId="97" xfId="0" applyFont="1" applyFill="1" applyBorder="1" applyAlignment="1" applyProtection="1">
      <alignment horizontal="left" vertical="center"/>
      <protection locked="0"/>
    </xf>
    <xf numFmtId="0" fontId="1" fillId="11" borderId="11" xfId="0" quotePrefix="1" applyFont="1" applyFill="1" applyBorder="1" applyAlignment="1" applyProtection="1">
      <alignment horizontal="left" vertical="center"/>
      <protection locked="0"/>
    </xf>
    <xf numFmtId="0" fontId="1" fillId="11" borderId="97" xfId="0" applyFont="1" applyFill="1" applyBorder="1" applyAlignment="1" applyProtection="1">
      <alignment horizontal="left" vertical="center"/>
      <protection locked="0"/>
    </xf>
    <xf numFmtId="49" fontId="57" fillId="11" borderId="53" xfId="0" applyNumberFormat="1" applyFont="1" applyFill="1" applyBorder="1" applyAlignment="1" applyProtection="1">
      <alignment horizontal="left" vertical="center"/>
      <protection locked="0"/>
    </xf>
    <xf numFmtId="49" fontId="57" fillId="11" borderId="107" xfId="0" applyNumberFormat="1" applyFont="1" applyFill="1" applyBorder="1" applyAlignment="1" applyProtection="1">
      <alignment horizontal="left" vertical="center"/>
      <protection locked="0"/>
    </xf>
    <xf numFmtId="49" fontId="57" fillId="11" borderId="11" xfId="0" quotePrefix="1" applyNumberFormat="1" applyFont="1" applyFill="1" applyBorder="1" applyAlignment="1" applyProtection="1">
      <alignment horizontal="left" vertical="center"/>
      <protection locked="0"/>
    </xf>
    <xf numFmtId="0" fontId="77" fillId="17" borderId="94" xfId="0" applyFont="1" applyFill="1" applyBorder="1" applyAlignment="1" applyProtection="1">
      <alignment horizontal="center"/>
      <protection locked="0"/>
    </xf>
    <xf numFmtId="0" fontId="77" fillId="17" borderId="95" xfId="0" applyFont="1" applyFill="1" applyBorder="1" applyAlignment="1" applyProtection="1">
      <alignment horizontal="center"/>
      <protection locked="0"/>
    </xf>
    <xf numFmtId="0" fontId="77" fillId="17" borderId="96" xfId="0" applyFont="1" applyFill="1" applyBorder="1" applyAlignment="1" applyProtection="1">
      <alignment horizontal="center"/>
      <protection locked="0"/>
    </xf>
    <xf numFmtId="0" fontId="78" fillId="11" borderId="11" xfId="0" applyFont="1" applyFill="1" applyBorder="1" applyAlignment="1" applyProtection="1">
      <alignment horizontal="left"/>
      <protection locked="0"/>
    </xf>
    <xf numFmtId="0" fontId="78" fillId="11" borderId="97" xfId="0" applyFont="1" applyFill="1" applyBorder="1" applyAlignment="1" applyProtection="1">
      <alignment horizontal="left"/>
      <protection locked="0"/>
    </xf>
    <xf numFmtId="0" fontId="1" fillId="11" borderId="11" xfId="0" applyFont="1" applyFill="1" applyBorder="1" applyAlignment="1" applyProtection="1">
      <alignment horizontal="left" vertical="center"/>
      <protection locked="0"/>
    </xf>
    <xf numFmtId="0" fontId="25" fillId="0" borderId="118" xfId="0" applyFont="1" applyBorder="1" applyAlignment="1">
      <alignment horizontal="center" vertical="center" wrapText="1"/>
    </xf>
    <xf numFmtId="0" fontId="25" fillId="0" borderId="119" xfId="0" applyFont="1" applyBorder="1" applyAlignment="1">
      <alignment horizontal="center" vertical="center" wrapText="1"/>
    </xf>
    <xf numFmtId="0" fontId="12" fillId="32" borderId="7" xfId="0" applyFont="1" applyFill="1" applyBorder="1" applyAlignment="1">
      <alignment horizontal="center" vertical="center"/>
    </xf>
    <xf numFmtId="0" fontId="0" fillId="15" borderId="7" xfId="0" applyFill="1" applyBorder="1" applyAlignment="1">
      <alignment horizontal="center" vertical="center"/>
    </xf>
    <xf numFmtId="0" fontId="28" fillId="0" borderId="0" xfId="0" applyFont="1" applyBorder="1" applyAlignment="1">
      <alignment horizontal="center"/>
    </xf>
    <xf numFmtId="0" fontId="28" fillId="0" borderId="0" xfId="0" applyFont="1" applyBorder="1" applyAlignment="1">
      <alignment horizontal="left" vertical="center"/>
    </xf>
    <xf numFmtId="0" fontId="12" fillId="22" borderId="47" xfId="0" applyFont="1" applyFill="1" applyBorder="1" applyAlignment="1">
      <alignment horizontal="center" vertical="center"/>
    </xf>
    <xf numFmtId="0" fontId="10" fillId="22" borderId="47" xfId="0" applyFont="1" applyFill="1" applyBorder="1" applyAlignment="1">
      <alignment horizontal="center" vertical="center"/>
    </xf>
    <xf numFmtId="0" fontId="12" fillId="22" borderId="47" xfId="0" applyFont="1" applyFill="1" applyBorder="1" applyAlignment="1">
      <alignment horizontal="center" vertical="center" wrapText="1"/>
    </xf>
    <xf numFmtId="49" fontId="31" fillId="0" borderId="54" xfId="0" applyNumberFormat="1" applyFont="1" applyFill="1" applyBorder="1" applyAlignment="1">
      <alignment horizontal="center" vertical="center"/>
    </xf>
    <xf numFmtId="49" fontId="9" fillId="22" borderId="7" xfId="0" applyNumberFormat="1" applyFont="1" applyFill="1" applyBorder="1" applyAlignment="1">
      <alignment horizontal="center" vertical="center"/>
    </xf>
    <xf numFmtId="49" fontId="9" fillId="22" borderId="55" xfId="0" applyNumberFormat="1" applyFont="1" applyFill="1" applyBorder="1" applyAlignment="1">
      <alignment horizontal="center" vertical="center" wrapText="1"/>
    </xf>
    <xf numFmtId="49" fontId="9" fillId="22" borderId="10" xfId="0" applyNumberFormat="1" applyFont="1" applyFill="1" applyBorder="1" applyAlignment="1">
      <alignment horizontal="center" vertical="center" wrapText="1"/>
    </xf>
    <xf numFmtId="49" fontId="12" fillId="33" borderId="7" xfId="0" applyNumberFormat="1" applyFont="1" applyFill="1" applyBorder="1" applyAlignment="1">
      <alignment horizontal="center" vertical="center"/>
    </xf>
    <xf numFmtId="0" fontId="1" fillId="13" borderId="0" xfId="0" applyFont="1" applyFill="1" applyBorder="1" applyAlignment="1" applyProtection="1">
      <alignment horizontal="center"/>
      <protection locked="0"/>
    </xf>
    <xf numFmtId="0" fontId="23" fillId="0" borderId="0" xfId="0" applyFont="1" applyFill="1" applyAlignment="1" applyProtection="1">
      <alignment horizontal="center" vertical="center" wrapText="1"/>
      <protection locked="0"/>
    </xf>
    <xf numFmtId="0" fontId="1" fillId="0" borderId="7" xfId="0" applyFont="1" applyFill="1" applyBorder="1" applyAlignment="1" applyProtection="1">
      <alignment horizontal="center" vertical="center"/>
      <protection locked="0"/>
    </xf>
    <xf numFmtId="0" fontId="1" fillId="0" borderId="55" xfId="0" applyFont="1" applyFill="1" applyBorder="1" applyAlignment="1" applyProtection="1">
      <alignment horizontal="center" vertical="center"/>
      <protection locked="0"/>
    </xf>
    <xf numFmtId="0" fontId="1" fillId="0" borderId="10" xfId="0" applyFont="1" applyFill="1" applyBorder="1" applyAlignment="1" applyProtection="1">
      <alignment horizontal="center" vertical="center"/>
      <protection locked="0"/>
    </xf>
    <xf numFmtId="0" fontId="79" fillId="13" borderId="0" xfId="0" applyFont="1" applyFill="1" applyBorder="1" applyAlignment="1" applyProtection="1">
      <alignment horizontal="center" vertical="center"/>
      <protection locked="0"/>
    </xf>
    <xf numFmtId="0" fontId="1" fillId="0" borderId="50" xfId="0" applyFont="1" applyBorder="1" applyAlignment="1" applyProtection="1">
      <alignment horizontal="center" vertical="center"/>
      <protection locked="0"/>
    </xf>
    <xf numFmtId="0" fontId="1" fillId="0" borderId="56" xfId="0" applyFont="1" applyBorder="1" applyAlignment="1" applyProtection="1">
      <alignment horizontal="center" vertical="center"/>
      <protection locked="0"/>
    </xf>
    <xf numFmtId="0" fontId="1" fillId="0" borderId="108" xfId="0" applyFont="1" applyBorder="1" applyAlignment="1" applyProtection="1">
      <alignment horizontal="center" vertical="center"/>
      <protection locked="0"/>
    </xf>
    <xf numFmtId="0" fontId="1" fillId="0" borderId="109" xfId="0" applyFont="1" applyBorder="1" applyAlignment="1" applyProtection="1">
      <alignment horizontal="center" vertical="center"/>
      <protection locked="0"/>
    </xf>
    <xf numFmtId="0" fontId="1" fillId="0" borderId="57" xfId="0" applyFont="1" applyBorder="1" applyAlignment="1" applyProtection="1">
      <alignment horizontal="center" vertical="center"/>
      <protection locked="0"/>
    </xf>
    <xf numFmtId="0" fontId="1" fillId="0" borderId="58" xfId="0" applyFont="1" applyBorder="1" applyAlignment="1" applyProtection="1">
      <alignment horizontal="center" vertical="center"/>
      <protection locked="0"/>
    </xf>
    <xf numFmtId="0" fontId="1" fillId="0" borderId="59"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0" borderId="60"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23" fillId="0" borderId="61" xfId="0" applyFont="1" applyBorder="1" applyAlignment="1" applyProtection="1">
      <alignment horizontal="center"/>
      <protection locked="0"/>
    </xf>
    <xf numFmtId="0" fontId="23" fillId="0" borderId="62" xfId="0" applyFont="1" applyBorder="1" applyAlignment="1" applyProtection="1">
      <alignment horizontal="center"/>
      <protection locked="0"/>
    </xf>
    <xf numFmtId="0" fontId="1" fillId="0" borderId="110" xfId="0" applyFont="1" applyBorder="1" applyAlignment="1" applyProtection="1">
      <alignment horizontal="center"/>
      <protection locked="0"/>
    </xf>
    <xf numFmtId="0" fontId="1" fillId="0" borderId="111" xfId="0" applyFont="1" applyBorder="1" applyAlignment="1" applyProtection="1">
      <alignment horizontal="center"/>
      <protection locked="0"/>
    </xf>
    <xf numFmtId="0" fontId="16" fillId="3" borderId="63" xfId="0" applyFont="1" applyFill="1" applyBorder="1" applyAlignment="1" applyProtection="1">
      <alignment horizontal="left" vertical="center"/>
      <protection locked="0"/>
    </xf>
    <xf numFmtId="0" fontId="16" fillId="3" borderId="64" xfId="0" applyFont="1" applyFill="1" applyBorder="1" applyAlignment="1" applyProtection="1">
      <alignment horizontal="left" vertical="center"/>
      <protection locked="0"/>
    </xf>
    <xf numFmtId="43" fontId="19" fillId="3" borderId="65" xfId="2" applyNumberFormat="1" applyFont="1" applyFill="1" applyBorder="1" applyAlignment="1" applyProtection="1">
      <alignment vertical="center"/>
      <protection locked="0"/>
    </xf>
    <xf numFmtId="43" fontId="19" fillId="3" borderId="66" xfId="2" applyNumberFormat="1" applyFont="1" applyFill="1" applyBorder="1" applyAlignment="1" applyProtection="1">
      <alignment vertical="center"/>
      <protection locked="0"/>
    </xf>
    <xf numFmtId="43" fontId="19" fillId="3" borderId="67" xfId="2" applyNumberFormat="1" applyFont="1" applyFill="1" applyBorder="1" applyAlignment="1" applyProtection="1">
      <alignment horizontal="left" vertical="center"/>
      <protection locked="0"/>
    </xf>
    <xf numFmtId="43" fontId="19" fillId="3" borderId="68" xfId="2" applyNumberFormat="1" applyFont="1" applyFill="1" applyBorder="1" applyAlignment="1" applyProtection="1">
      <alignment horizontal="left" vertical="center"/>
      <protection locked="0"/>
    </xf>
    <xf numFmtId="0" fontId="21" fillId="8" borderId="69" xfId="0" applyFont="1" applyFill="1" applyBorder="1" applyAlignment="1" applyProtection="1">
      <alignment horizontal="center"/>
      <protection locked="0"/>
    </xf>
    <xf numFmtId="0" fontId="21" fillId="8" borderId="70" xfId="0" applyFont="1" applyFill="1" applyBorder="1" applyAlignment="1" applyProtection="1">
      <alignment horizontal="center"/>
      <protection locked="0"/>
    </xf>
    <xf numFmtId="0" fontId="55" fillId="8" borderId="49" xfId="0" applyFont="1" applyFill="1" applyBorder="1" applyAlignment="1" applyProtection="1">
      <alignment horizontal="center" vertical="center"/>
      <protection locked="0"/>
    </xf>
    <xf numFmtId="0" fontId="55" fillId="8" borderId="50" xfId="0" applyFont="1" applyFill="1" applyBorder="1" applyAlignment="1" applyProtection="1">
      <alignment horizontal="center" vertical="center"/>
      <protection locked="0"/>
    </xf>
    <xf numFmtId="0" fontId="55" fillId="8" borderId="51" xfId="0" applyFont="1" applyFill="1" applyBorder="1" applyAlignment="1" applyProtection="1">
      <alignment horizontal="center" vertical="center"/>
      <protection locked="0"/>
    </xf>
    <xf numFmtId="0" fontId="55" fillId="8" borderId="52" xfId="0" applyFont="1" applyFill="1" applyBorder="1" applyAlignment="1" applyProtection="1">
      <alignment horizontal="center" vertical="center"/>
      <protection locked="0"/>
    </xf>
    <xf numFmtId="164" fontId="22" fillId="3" borderId="71" xfId="2" applyNumberFormat="1" applyFont="1" applyFill="1" applyBorder="1" applyAlignment="1" applyProtection="1">
      <alignment horizontal="left" vertical="center"/>
      <protection locked="0"/>
    </xf>
    <xf numFmtId="164" fontId="22" fillId="3" borderId="72" xfId="2" applyNumberFormat="1" applyFont="1" applyFill="1" applyBorder="1" applyAlignment="1" applyProtection="1">
      <alignment horizontal="left" vertical="center"/>
      <protection locked="0"/>
    </xf>
    <xf numFmtId="0" fontId="79" fillId="26" borderId="0" xfId="0" applyFont="1" applyFill="1" applyBorder="1" applyAlignment="1" applyProtection="1">
      <alignment horizontal="center" vertical="center"/>
      <protection locked="0"/>
    </xf>
    <xf numFmtId="0" fontId="12" fillId="22" borderId="47" xfId="0" applyFont="1" applyFill="1" applyBorder="1" applyAlignment="1" applyProtection="1">
      <alignment horizontal="center" vertical="center"/>
      <protection locked="0"/>
    </xf>
    <xf numFmtId="0" fontId="73" fillId="11" borderId="7" xfId="0" applyFont="1" applyFill="1" applyBorder="1" applyAlignment="1" applyProtection="1">
      <alignment horizontal="center" vertical="center"/>
      <protection locked="0"/>
    </xf>
    <xf numFmtId="0" fontId="42" fillId="28" borderId="112" xfId="1" applyFont="1" applyFill="1" applyBorder="1" applyAlignment="1" applyProtection="1">
      <alignment horizontal="center" vertical="center"/>
      <protection locked="0"/>
    </xf>
    <xf numFmtId="0" fontId="42" fillId="28" borderId="113" xfId="1" applyFont="1" applyFill="1" applyBorder="1" applyAlignment="1" applyProtection="1">
      <alignment horizontal="center" vertical="center"/>
      <protection locked="0"/>
    </xf>
    <xf numFmtId="0" fontId="94" fillId="12" borderId="0" xfId="0" applyFont="1" applyFill="1" applyAlignment="1">
      <alignment horizontal="center"/>
    </xf>
    <xf numFmtId="0" fontId="89" fillId="12" borderId="0" xfId="0" applyFont="1" applyFill="1" applyAlignment="1">
      <alignment horizontal="center"/>
    </xf>
    <xf numFmtId="0" fontId="92" fillId="12" borderId="0" xfId="0" applyFont="1" applyFill="1" applyAlignment="1">
      <alignment horizontal="center"/>
    </xf>
    <xf numFmtId="0" fontId="95" fillId="12" borderId="0" xfId="0" applyFont="1" applyFill="1" applyAlignment="1">
      <alignment horizontal="center" vertical="center"/>
    </xf>
    <xf numFmtId="0" fontId="97" fillId="12" borderId="0" xfId="0" applyFont="1" applyFill="1" applyAlignment="1">
      <alignment horizontal="center"/>
    </xf>
    <xf numFmtId="0" fontId="97" fillId="12" borderId="0" xfId="0" quotePrefix="1" applyFont="1" applyFill="1" applyBorder="1" applyAlignment="1">
      <alignment horizontal="center" vertical="center"/>
    </xf>
    <xf numFmtId="0" fontId="94" fillId="0" borderId="0" xfId="0" applyFont="1" applyFill="1" applyBorder="1" applyAlignment="1">
      <alignment horizontal="center"/>
    </xf>
    <xf numFmtId="0" fontId="94" fillId="0" borderId="0" xfId="0" applyFont="1" applyFill="1" applyBorder="1" applyAlignment="1">
      <alignment horizontal="center" vertical="center"/>
    </xf>
    <xf numFmtId="0" fontId="64" fillId="0" borderId="37" xfId="0" applyFont="1" applyBorder="1" applyAlignment="1">
      <alignment horizontal="center" vertical="center"/>
    </xf>
    <xf numFmtId="0" fontId="64" fillId="0" borderId="46" xfId="0" applyFont="1" applyBorder="1" applyAlignment="1">
      <alignment horizontal="center" vertical="center"/>
    </xf>
    <xf numFmtId="0" fontId="86" fillId="0" borderId="0" xfId="0" applyFont="1" applyAlignment="1">
      <alignment horizontal="center"/>
    </xf>
    <xf numFmtId="0" fontId="64" fillId="0" borderId="6" xfId="0" applyFont="1" applyBorder="1" applyAlignment="1">
      <alignment horizontal="center" vertical="center"/>
    </xf>
    <xf numFmtId="0" fontId="64" fillId="0" borderId="15" xfId="0" applyFont="1" applyBorder="1" applyAlignment="1">
      <alignment horizontal="center" vertical="center"/>
    </xf>
    <xf numFmtId="0" fontId="64" fillId="0" borderId="40" xfId="0" applyFont="1" applyBorder="1" applyAlignment="1">
      <alignment horizontal="center" vertical="center"/>
    </xf>
    <xf numFmtId="0" fontId="74" fillId="0" borderId="0" xfId="0" applyFont="1" applyAlignment="1">
      <alignment horizontal="center"/>
    </xf>
    <xf numFmtId="0" fontId="64" fillId="0" borderId="0" xfId="0" applyFont="1" applyAlignment="1">
      <alignment horizontal="left" vertical="top" wrapText="1"/>
    </xf>
    <xf numFmtId="0" fontId="64" fillId="0" borderId="0" xfId="0" applyFont="1" applyAlignment="1">
      <alignment horizontal="left" vertical="top"/>
    </xf>
    <xf numFmtId="0" fontId="98" fillId="0" borderId="0" xfId="0" applyFont="1" applyBorder="1" applyAlignment="1">
      <alignment horizontal="center" vertical="center"/>
    </xf>
    <xf numFmtId="0" fontId="99" fillId="0" borderId="0" xfId="0" applyFont="1" applyFill="1" applyBorder="1" applyAlignment="1">
      <alignment horizontal="left"/>
    </xf>
    <xf numFmtId="0" fontId="8" fillId="0" borderId="0" xfId="0" applyFont="1" applyFill="1" applyBorder="1" applyAlignment="1">
      <alignment horizontal="left"/>
    </xf>
    <xf numFmtId="0" fontId="8" fillId="0" borderId="0" xfId="0" applyFont="1" applyBorder="1" applyAlignment="1">
      <alignment horizontal="center" vertical="center"/>
    </xf>
    <xf numFmtId="1" fontId="36" fillId="12" borderId="37" xfId="0" applyNumberFormat="1" applyFont="1" applyFill="1" applyBorder="1" applyAlignment="1" applyProtection="1">
      <alignment horizontal="center" vertical="center"/>
      <protection hidden="1"/>
    </xf>
    <xf numFmtId="1" fontId="36" fillId="12" borderId="46" xfId="0" applyNumberFormat="1" applyFont="1" applyFill="1" applyBorder="1" applyAlignment="1" applyProtection="1">
      <alignment horizontal="center" vertical="center"/>
      <protection hidden="1"/>
    </xf>
    <xf numFmtId="0" fontId="102" fillId="12" borderId="6" xfId="0" applyFont="1" applyFill="1" applyBorder="1" applyAlignment="1" applyProtection="1">
      <alignment horizontal="center" vertical="center"/>
      <protection hidden="1"/>
    </xf>
    <xf numFmtId="0" fontId="102" fillId="12" borderId="15" xfId="0" applyFont="1" applyFill="1" applyBorder="1" applyAlignment="1" applyProtection="1">
      <alignment horizontal="center" vertical="center"/>
      <protection hidden="1"/>
    </xf>
    <xf numFmtId="2" fontId="36" fillId="12" borderId="37" xfId="0" applyNumberFormat="1" applyFont="1" applyFill="1" applyBorder="1" applyAlignment="1" applyProtection="1">
      <alignment horizontal="center" vertical="center"/>
      <protection hidden="1"/>
    </xf>
    <xf numFmtId="2" fontId="36" fillId="12" borderId="46" xfId="0" applyNumberFormat="1" applyFont="1" applyFill="1" applyBorder="1" applyAlignment="1" applyProtection="1">
      <alignment horizontal="center" vertical="center"/>
      <protection hidden="1"/>
    </xf>
    <xf numFmtId="0" fontId="36" fillId="12" borderId="31" xfId="0" quotePrefix="1" applyFont="1" applyFill="1" applyBorder="1" applyAlignment="1" applyProtection="1">
      <alignment horizontal="center" vertical="center"/>
      <protection hidden="1"/>
    </xf>
    <xf numFmtId="0" fontId="36" fillId="12" borderId="5" xfId="0" quotePrefix="1" applyFont="1" applyFill="1" applyBorder="1" applyAlignment="1" applyProtection="1">
      <alignment horizontal="center" vertical="center"/>
      <protection hidden="1"/>
    </xf>
    <xf numFmtId="0" fontId="105" fillId="12" borderId="6" xfId="0" applyFont="1" applyFill="1" applyBorder="1" applyAlignment="1" applyProtection="1">
      <alignment horizontal="left" vertical="center" wrapText="1"/>
      <protection hidden="1"/>
    </xf>
    <xf numFmtId="0" fontId="105" fillId="12" borderId="14" xfId="0" applyFont="1" applyFill="1" applyBorder="1" applyAlignment="1" applyProtection="1">
      <alignment horizontal="left" vertical="center" wrapText="1"/>
      <protection hidden="1"/>
    </xf>
    <xf numFmtId="0" fontId="105" fillId="12" borderId="15" xfId="0" applyFont="1" applyFill="1" applyBorder="1" applyAlignment="1" applyProtection="1">
      <alignment horizontal="left" vertical="center" wrapText="1"/>
      <protection hidden="1"/>
    </xf>
    <xf numFmtId="0" fontId="18" fillId="12" borderId="6" xfId="0" applyFont="1" applyFill="1" applyBorder="1" applyAlignment="1" applyProtection="1">
      <alignment horizontal="center" vertical="center"/>
      <protection hidden="1"/>
    </xf>
    <xf numFmtId="0" fontId="18" fillId="12" borderId="15" xfId="0" applyFont="1" applyFill="1" applyBorder="1" applyAlignment="1" applyProtection="1">
      <alignment horizontal="center" vertical="center"/>
      <protection hidden="1"/>
    </xf>
    <xf numFmtId="0" fontId="18" fillId="12" borderId="0" xfId="0" applyFont="1" applyFill="1" applyAlignment="1" applyProtection="1">
      <alignment horizontal="left" vertical="center" indent="3"/>
      <protection hidden="1"/>
    </xf>
    <xf numFmtId="0" fontId="36" fillId="12" borderId="31" xfId="0" applyFont="1" applyFill="1" applyBorder="1" applyAlignment="1" applyProtection="1">
      <alignment horizontal="left" vertical="center"/>
      <protection hidden="1"/>
    </xf>
    <xf numFmtId="0" fontId="36" fillId="12" borderId="12" xfId="0" applyFont="1" applyFill="1" applyBorder="1" applyAlignment="1" applyProtection="1">
      <alignment horizontal="left" vertical="center"/>
      <protection hidden="1"/>
    </xf>
    <xf numFmtId="0" fontId="36" fillId="12" borderId="5" xfId="0" applyFont="1" applyFill="1" applyBorder="1" applyAlignment="1" applyProtection="1">
      <alignment horizontal="left" vertical="center"/>
      <protection hidden="1"/>
    </xf>
    <xf numFmtId="0" fontId="36" fillId="12" borderId="13" xfId="0" applyFont="1" applyFill="1" applyBorder="1" applyAlignment="1" applyProtection="1">
      <alignment horizontal="left" vertical="center"/>
      <protection hidden="1"/>
    </xf>
    <xf numFmtId="0" fontId="79" fillId="11" borderId="37" xfId="0" applyFont="1" applyFill="1" applyBorder="1" applyAlignment="1" applyProtection="1">
      <alignment horizontal="center" vertical="center"/>
      <protection locked="0"/>
    </xf>
    <xf numFmtId="0" fontId="79" fillId="11" borderId="46" xfId="0" applyFont="1" applyFill="1" applyBorder="1" applyAlignment="1" applyProtection="1">
      <alignment horizontal="center" vertical="center"/>
      <protection locked="0"/>
    </xf>
    <xf numFmtId="2" fontId="18" fillId="12" borderId="0" xfId="0" applyNumberFormat="1" applyFont="1" applyFill="1" applyBorder="1" applyAlignment="1" applyProtection="1">
      <alignment horizontal="center" vertical="center"/>
      <protection hidden="1"/>
    </xf>
    <xf numFmtId="0" fontId="18" fillId="12" borderId="0" xfId="0" applyFont="1" applyFill="1" applyBorder="1" applyAlignment="1" applyProtection="1">
      <alignment horizontal="left" vertical="center"/>
      <protection hidden="1"/>
    </xf>
    <xf numFmtId="0" fontId="93" fillId="12" borderId="0" xfId="0" applyFont="1" applyFill="1" applyBorder="1" applyProtection="1">
      <protection hidden="1"/>
    </xf>
    <xf numFmtId="0" fontId="101" fillId="12" borderId="0" xfId="0" applyFont="1" applyFill="1" applyBorder="1" applyAlignment="1" applyProtection="1">
      <alignment horizontal="center" vertical="center"/>
      <protection hidden="1"/>
    </xf>
    <xf numFmtId="0" fontId="101" fillId="12" borderId="6" xfId="0" applyFont="1" applyFill="1" applyBorder="1" applyAlignment="1" applyProtection="1">
      <alignment horizontal="center" vertical="center"/>
      <protection hidden="1"/>
    </xf>
    <xf numFmtId="0" fontId="101" fillId="12" borderId="14" xfId="0" applyFont="1" applyFill="1" applyBorder="1" applyAlignment="1" applyProtection="1">
      <alignment horizontal="center" vertical="center"/>
      <protection hidden="1"/>
    </xf>
    <xf numFmtId="0" fontId="101" fillId="12" borderId="15" xfId="0" applyFont="1" applyFill="1" applyBorder="1" applyAlignment="1" applyProtection="1">
      <alignment horizontal="center" vertical="center"/>
      <protection hidden="1"/>
    </xf>
    <xf numFmtId="0" fontId="36" fillId="12" borderId="6" xfId="0" applyFont="1" applyFill="1" applyBorder="1" applyAlignment="1" applyProtection="1">
      <alignment horizontal="left" vertical="center" indent="1"/>
      <protection hidden="1"/>
    </xf>
    <xf numFmtId="0" fontId="36" fillId="12" borderId="15" xfId="0" applyFont="1" applyFill="1" applyBorder="1" applyAlignment="1" applyProtection="1">
      <alignment horizontal="left" vertical="center" indent="1"/>
      <protection hidden="1"/>
    </xf>
    <xf numFmtId="0" fontId="25" fillId="12" borderId="31" xfId="0" applyFont="1" applyFill="1" applyBorder="1" applyAlignment="1" applyProtection="1">
      <alignment horizontal="left" vertical="center"/>
      <protection hidden="1"/>
    </xf>
    <xf numFmtId="0" fontId="25" fillId="12" borderId="12" xfId="0" applyFont="1" applyFill="1" applyBorder="1" applyAlignment="1" applyProtection="1">
      <alignment horizontal="left" vertical="center"/>
      <protection hidden="1"/>
    </xf>
    <xf numFmtId="0" fontId="3" fillId="11" borderId="118" xfId="1" applyFont="1" applyFill="1" applyBorder="1" applyAlignment="1" applyProtection="1">
      <alignment horizontal="center" vertical="center"/>
      <protection hidden="1"/>
    </xf>
    <xf numFmtId="0" fontId="3" fillId="11" borderId="119" xfId="1" applyFont="1" applyFill="1" applyBorder="1" applyAlignment="1" applyProtection="1">
      <alignment horizontal="center" vertical="center"/>
      <protection hidden="1"/>
    </xf>
    <xf numFmtId="0" fontId="36" fillId="12" borderId="37" xfId="0" applyFont="1" applyFill="1" applyBorder="1" applyAlignment="1" applyProtection="1">
      <alignment horizontal="center" vertical="center"/>
      <protection hidden="1"/>
    </xf>
    <xf numFmtId="0" fontId="36" fillId="12" borderId="46" xfId="0" applyFont="1" applyFill="1" applyBorder="1" applyAlignment="1" applyProtection="1">
      <alignment horizontal="center" vertical="center"/>
      <protection hidden="1"/>
    </xf>
    <xf numFmtId="0" fontId="36" fillId="12" borderId="12" xfId="0" quotePrefix="1" applyFont="1" applyFill="1" applyBorder="1" applyAlignment="1" applyProtection="1">
      <alignment horizontal="center" vertical="center"/>
      <protection hidden="1"/>
    </xf>
    <xf numFmtId="0" fontId="36" fillId="12" borderId="13" xfId="0" quotePrefix="1" applyFont="1" applyFill="1" applyBorder="1" applyAlignment="1" applyProtection="1">
      <alignment horizontal="center" vertical="center"/>
      <protection hidden="1"/>
    </xf>
    <xf numFmtId="0" fontId="43" fillId="11" borderId="112" xfId="1" applyFont="1" applyFill="1" applyBorder="1" applyAlignment="1" applyProtection="1">
      <alignment horizontal="center" vertical="center"/>
      <protection hidden="1"/>
    </xf>
    <xf numFmtId="0" fontId="43" fillId="11" borderId="113" xfId="1" applyFont="1" applyFill="1" applyBorder="1" applyAlignment="1" applyProtection="1">
      <alignment horizontal="center" vertical="center"/>
      <protection hidden="1"/>
    </xf>
    <xf numFmtId="0" fontId="35" fillId="12" borderId="31" xfId="0" applyFont="1" applyFill="1" applyBorder="1" applyAlignment="1" applyProtection="1">
      <alignment horizontal="center" vertical="center"/>
      <protection hidden="1"/>
    </xf>
    <xf numFmtId="0" fontId="35" fillId="12" borderId="33" xfId="0" applyFont="1" applyFill="1" applyBorder="1" applyAlignment="1" applyProtection="1">
      <alignment horizontal="center" vertical="center"/>
      <protection hidden="1"/>
    </xf>
    <xf numFmtId="0" fontId="35" fillId="12" borderId="12" xfId="0" applyFont="1" applyFill="1" applyBorder="1" applyAlignment="1" applyProtection="1">
      <alignment horizontal="center" vertical="center"/>
      <protection hidden="1"/>
    </xf>
    <xf numFmtId="0" fontId="35" fillId="12" borderId="5" xfId="0" applyFont="1" applyFill="1" applyBorder="1" applyAlignment="1" applyProtection="1">
      <alignment horizontal="center" vertical="center"/>
      <protection hidden="1"/>
    </xf>
    <xf numFmtId="0" fontId="35" fillId="12" borderId="32" xfId="0" applyFont="1" applyFill="1" applyBorder="1" applyAlignment="1" applyProtection="1">
      <alignment horizontal="center" vertical="center"/>
      <protection hidden="1"/>
    </xf>
    <xf numFmtId="0" fontId="35" fillId="12" borderId="13" xfId="0" applyFont="1" applyFill="1" applyBorder="1" applyAlignment="1" applyProtection="1">
      <alignment horizontal="center" vertical="center"/>
      <protection hidden="1"/>
    </xf>
    <xf numFmtId="0" fontId="36" fillId="12" borderId="45" xfId="0" applyFont="1" applyFill="1" applyBorder="1" applyAlignment="1" applyProtection="1">
      <alignment horizontal="center" vertical="center"/>
      <protection hidden="1"/>
    </xf>
    <xf numFmtId="0" fontId="36" fillId="12" borderId="6" xfId="0" applyFont="1" applyFill="1" applyBorder="1" applyAlignment="1" applyProtection="1">
      <alignment horizontal="center" vertical="center" wrapText="1"/>
      <protection hidden="1"/>
    </xf>
    <xf numFmtId="0" fontId="36" fillId="12" borderId="14" xfId="0" applyFont="1" applyFill="1" applyBorder="1" applyAlignment="1" applyProtection="1">
      <alignment horizontal="center" vertical="center" wrapText="1"/>
      <protection hidden="1"/>
    </xf>
    <xf numFmtId="0" fontId="36" fillId="12" borderId="15" xfId="0" applyFont="1" applyFill="1" applyBorder="1" applyAlignment="1" applyProtection="1">
      <alignment horizontal="center" vertical="center" wrapText="1"/>
      <protection hidden="1"/>
    </xf>
    <xf numFmtId="0" fontId="36" fillId="12" borderId="1" xfId="0" applyFont="1" applyFill="1" applyBorder="1" applyAlignment="1" applyProtection="1">
      <alignment horizontal="center" vertical="center" wrapText="1"/>
      <protection hidden="1"/>
    </xf>
    <xf numFmtId="0" fontId="102" fillId="12" borderId="1" xfId="0" applyFont="1" applyFill="1" applyBorder="1" applyAlignment="1" applyProtection="1">
      <alignment horizontal="center" vertical="center"/>
      <protection hidden="1"/>
    </xf>
    <xf numFmtId="0" fontId="35" fillId="12" borderId="6" xfId="0" applyFont="1" applyFill="1" applyBorder="1" applyAlignment="1" applyProtection="1">
      <alignment horizontal="left" vertical="center" indent="1"/>
      <protection hidden="1"/>
    </xf>
    <xf numFmtId="0" fontId="35" fillId="12" borderId="14" xfId="0" applyFont="1" applyFill="1" applyBorder="1" applyAlignment="1" applyProtection="1">
      <alignment horizontal="left" vertical="center" indent="1"/>
      <protection hidden="1"/>
    </xf>
    <xf numFmtId="0" fontId="36" fillId="12" borderId="6" xfId="0" applyFont="1" applyFill="1" applyBorder="1" applyAlignment="1" applyProtection="1">
      <alignment horizontal="center" vertical="center"/>
      <protection hidden="1"/>
    </xf>
    <xf numFmtId="0" fontId="36" fillId="12" borderId="15" xfId="0" applyFont="1" applyFill="1" applyBorder="1" applyAlignment="1" applyProtection="1">
      <alignment horizontal="center" vertical="center"/>
      <protection hidden="1"/>
    </xf>
    <xf numFmtId="0" fontId="36" fillId="12" borderId="37" xfId="0" applyFont="1" applyFill="1" applyBorder="1" applyAlignment="1" applyProtection="1">
      <alignment horizontal="left" vertical="top" wrapText="1"/>
      <protection hidden="1"/>
    </xf>
    <xf numFmtId="0" fontId="36" fillId="12" borderId="40" xfId="0" applyFont="1" applyFill="1" applyBorder="1" applyAlignment="1" applyProtection="1">
      <alignment horizontal="left" vertical="top" wrapText="1"/>
      <protection hidden="1"/>
    </xf>
    <xf numFmtId="0" fontId="36" fillId="12" borderId="46" xfId="0" applyFont="1" applyFill="1" applyBorder="1" applyAlignment="1" applyProtection="1">
      <alignment horizontal="left" vertical="top" wrapText="1"/>
      <protection hidden="1"/>
    </xf>
    <xf numFmtId="0" fontId="93" fillId="12" borderId="1" xfId="0" applyFont="1" applyFill="1" applyBorder="1" applyAlignment="1" applyProtection="1">
      <alignment wrapText="1"/>
      <protection hidden="1"/>
    </xf>
    <xf numFmtId="2" fontId="36" fillId="12" borderId="40" xfId="0" applyNumberFormat="1" applyFont="1" applyFill="1" applyBorder="1" applyAlignment="1" applyProtection="1">
      <alignment horizontal="center" vertical="center"/>
      <protection hidden="1"/>
    </xf>
    <xf numFmtId="0" fontId="36" fillId="12" borderId="31" xfId="0" applyFont="1" applyFill="1" applyBorder="1" applyAlignment="1" applyProtection="1">
      <alignment vertical="center"/>
      <protection hidden="1"/>
    </xf>
    <xf numFmtId="0" fontId="36" fillId="12" borderId="12" xfId="0" applyFont="1" applyFill="1" applyBorder="1" applyAlignment="1" applyProtection="1">
      <alignment vertical="center"/>
      <protection hidden="1"/>
    </xf>
    <xf numFmtId="0" fontId="18" fillId="12" borderId="0" xfId="0" applyFont="1" applyFill="1" applyAlignment="1" applyProtection="1">
      <alignment horizontal="center" vertical="center"/>
      <protection hidden="1"/>
    </xf>
    <xf numFmtId="0" fontId="107" fillId="0" borderId="0" xfId="0" applyFont="1" applyFill="1" applyBorder="1" applyAlignment="1" applyProtection="1">
      <alignment horizontal="center"/>
      <protection hidden="1"/>
    </xf>
    <xf numFmtId="49" fontId="101" fillId="0" borderId="0" xfId="0" applyNumberFormat="1" applyFont="1" applyFill="1" applyBorder="1" applyAlignment="1" applyProtection="1">
      <alignment horizontal="center" vertical="top"/>
      <protection hidden="1"/>
    </xf>
    <xf numFmtId="49" fontId="101" fillId="0" borderId="0" xfId="0" applyNumberFormat="1" applyFont="1" applyFill="1" applyBorder="1" applyAlignment="1" applyProtection="1">
      <alignment horizontal="center" vertical="center"/>
      <protection hidden="1"/>
    </xf>
    <xf numFmtId="0" fontId="36" fillId="12" borderId="6" xfId="0" applyFont="1" applyFill="1" applyBorder="1" applyAlignment="1" applyProtection="1">
      <alignment horizontal="left" vertical="center" wrapText="1"/>
      <protection hidden="1"/>
    </xf>
    <xf numFmtId="0" fontId="36" fillId="12" borderId="14" xfId="0" applyFont="1" applyFill="1" applyBorder="1" applyAlignment="1" applyProtection="1">
      <alignment horizontal="left" vertical="center" wrapText="1"/>
      <protection hidden="1"/>
    </xf>
    <xf numFmtId="0" fontId="36" fillId="12" borderId="15" xfId="0" applyFont="1" applyFill="1" applyBorder="1" applyAlignment="1" applyProtection="1">
      <alignment horizontal="left" vertical="center" wrapText="1"/>
      <protection hidden="1"/>
    </xf>
    <xf numFmtId="0" fontId="36" fillId="12" borderId="5" xfId="0" applyFont="1" applyFill="1" applyBorder="1" applyAlignment="1" applyProtection="1">
      <alignment vertical="center"/>
      <protection hidden="1"/>
    </xf>
    <xf numFmtId="0" fontId="36" fillId="12" borderId="13" xfId="0" applyFont="1" applyFill="1" applyBorder="1" applyAlignment="1" applyProtection="1">
      <alignment vertical="center"/>
      <protection hidden="1"/>
    </xf>
    <xf numFmtId="0" fontId="36" fillId="12" borderId="0" xfId="0" applyFont="1" applyFill="1" applyBorder="1" applyAlignment="1" applyProtection="1">
      <alignment horizontal="left" vertical="center" indent="14"/>
      <protection hidden="1"/>
    </xf>
    <xf numFmtId="0" fontId="36" fillId="0" borderId="1" xfId="0" applyFont="1" applyFill="1" applyBorder="1" applyAlignment="1" applyProtection="1">
      <alignment horizontal="center" vertical="center"/>
      <protection hidden="1"/>
    </xf>
    <xf numFmtId="0" fontId="35" fillId="0" borderId="6" xfId="0" applyFont="1" applyFill="1" applyBorder="1" applyAlignment="1" applyProtection="1">
      <alignment horizontal="center" vertical="center"/>
      <protection hidden="1"/>
    </xf>
    <xf numFmtId="0" fontId="35" fillId="0" borderId="15" xfId="0" applyFont="1" applyFill="1" applyBorder="1" applyAlignment="1" applyProtection="1">
      <alignment horizontal="center" vertical="center"/>
      <protection hidden="1"/>
    </xf>
    <xf numFmtId="0" fontId="36" fillId="0" borderId="0" xfId="0" applyFont="1" applyFill="1" applyAlignment="1" applyProtection="1">
      <alignment horizontal="left" indent="1"/>
      <protection hidden="1"/>
    </xf>
    <xf numFmtId="0" fontId="36" fillId="0" borderId="1" xfId="0" applyFont="1" applyFill="1" applyBorder="1" applyAlignment="1" applyProtection="1">
      <alignment horizontal="left" vertical="center" wrapText="1" indent="1"/>
      <protection hidden="1"/>
    </xf>
    <xf numFmtId="0" fontId="35" fillId="0" borderId="6" xfId="0" applyFont="1" applyFill="1" applyBorder="1" applyAlignment="1" applyProtection="1">
      <alignment horizontal="center"/>
      <protection hidden="1"/>
    </xf>
    <xf numFmtId="0" fontId="35" fillId="0" borderId="14" xfId="0" applyFont="1" applyFill="1" applyBorder="1" applyAlignment="1" applyProtection="1">
      <alignment horizontal="center"/>
      <protection hidden="1"/>
    </xf>
    <xf numFmtId="0" fontId="35" fillId="0" borderId="15" xfId="0" applyFont="1" applyFill="1" applyBorder="1" applyAlignment="1" applyProtection="1">
      <alignment horizontal="center"/>
      <protection hidden="1"/>
    </xf>
    <xf numFmtId="0" fontId="36" fillId="0" borderId="1" xfId="0" applyFont="1" applyFill="1" applyBorder="1" applyAlignment="1" applyProtection="1">
      <alignment horizontal="left" vertical="center" wrapText="1"/>
      <protection hidden="1"/>
    </xf>
    <xf numFmtId="0" fontId="36" fillId="0" borderId="1" xfId="0" applyFont="1" applyFill="1" applyBorder="1" applyAlignment="1" applyProtection="1">
      <alignment horizontal="left" vertical="center" indent="1"/>
      <protection hidden="1"/>
    </xf>
    <xf numFmtId="0" fontId="36" fillId="0" borderId="1" xfId="0" applyFont="1" applyFill="1" applyBorder="1" applyAlignment="1" applyProtection="1">
      <alignment horizontal="justify" vertical="center" wrapText="1"/>
      <protection hidden="1"/>
    </xf>
    <xf numFmtId="0" fontId="36" fillId="0" borderId="1" xfId="0" applyFont="1" applyFill="1" applyBorder="1" applyAlignment="1" applyProtection="1">
      <alignment horizontal="left" vertical="center"/>
      <protection hidden="1"/>
    </xf>
    <xf numFmtId="0" fontId="36" fillId="0" borderId="6" xfId="0" applyFont="1" applyFill="1" applyBorder="1" applyAlignment="1" applyProtection="1">
      <alignment horizontal="justify" vertical="center" wrapText="1"/>
      <protection hidden="1"/>
    </xf>
    <xf numFmtId="0" fontId="36" fillId="0" borderId="14" xfId="0" applyFont="1" applyFill="1" applyBorder="1" applyAlignment="1" applyProtection="1">
      <alignment horizontal="justify" vertical="center" wrapText="1"/>
      <protection hidden="1"/>
    </xf>
    <xf numFmtId="0" fontId="36" fillId="0" borderId="15" xfId="0" applyFont="1" applyFill="1" applyBorder="1" applyAlignment="1" applyProtection="1">
      <alignment horizontal="justify" vertical="center" wrapText="1"/>
      <protection hidden="1"/>
    </xf>
    <xf numFmtId="0" fontId="81" fillId="11" borderId="115" xfId="0" applyFont="1" applyFill="1" applyBorder="1" applyAlignment="1" applyProtection="1">
      <alignment horizontal="center" vertical="center"/>
      <protection locked="0"/>
    </xf>
    <xf numFmtId="0" fontId="81" fillId="11" borderId="116" xfId="0" applyFont="1" applyFill="1" applyBorder="1" applyAlignment="1" applyProtection="1">
      <alignment horizontal="center" vertical="center"/>
      <protection locked="0"/>
    </xf>
    <xf numFmtId="0" fontId="82" fillId="11" borderId="112" xfId="1" applyFont="1" applyFill="1" applyBorder="1" applyAlignment="1" applyProtection="1">
      <alignment horizontal="center" vertical="center"/>
      <protection hidden="1"/>
    </xf>
    <xf numFmtId="0" fontId="82" fillId="11" borderId="113" xfId="1" applyFont="1" applyFill="1" applyBorder="1" applyAlignment="1" applyProtection="1">
      <alignment horizontal="center" vertical="center"/>
      <protection hidden="1"/>
    </xf>
    <xf numFmtId="0" fontId="36" fillId="0" borderId="0" xfId="0" applyFont="1" applyFill="1" applyBorder="1" applyAlignment="1" applyProtection="1">
      <alignment horizontal="center" vertical="center"/>
      <protection hidden="1"/>
    </xf>
    <xf numFmtId="0" fontId="36" fillId="0" borderId="0" xfId="0" applyNumberFormat="1" applyFont="1" applyFill="1" applyBorder="1" applyAlignment="1" applyProtection="1">
      <alignment horizontal="center" vertical="center"/>
      <protection hidden="1"/>
    </xf>
    <xf numFmtId="0" fontId="35" fillId="0" borderId="0" xfId="0" applyNumberFormat="1" applyFont="1" applyFill="1" applyBorder="1" applyAlignment="1" applyProtection="1">
      <alignment horizontal="left" vertical="center"/>
      <protection hidden="1"/>
    </xf>
    <xf numFmtId="0" fontId="36" fillId="0" borderId="0" xfId="0" quotePrefix="1" applyFont="1" applyFill="1" applyBorder="1" applyAlignment="1" applyProtection="1">
      <alignment horizontal="center" vertical="center"/>
      <protection hidden="1"/>
    </xf>
    <xf numFmtId="0" fontId="15" fillId="0" borderId="0" xfId="0" applyFont="1" applyFill="1" applyBorder="1" applyAlignment="1" applyProtection="1">
      <alignment horizontal="center" vertical="center"/>
      <protection hidden="1"/>
    </xf>
    <xf numFmtId="0" fontId="15" fillId="0" borderId="1" xfId="0" applyFont="1" applyFill="1" applyBorder="1" applyAlignment="1" applyProtection="1">
      <alignment horizontal="center" vertical="center"/>
      <protection hidden="1"/>
    </xf>
    <xf numFmtId="0" fontId="48" fillId="0" borderId="1" xfId="0" applyNumberFormat="1" applyFont="1" applyFill="1" applyBorder="1" applyAlignment="1" applyProtection="1">
      <alignment horizontal="center" vertical="center"/>
      <protection hidden="1"/>
    </xf>
    <xf numFmtId="0" fontId="25" fillId="0" borderId="37" xfId="0" applyNumberFormat="1" applyFont="1" applyFill="1" applyBorder="1" applyAlignment="1" applyProtection="1">
      <alignment horizontal="left" vertical="center"/>
      <protection hidden="1"/>
    </xf>
    <xf numFmtId="0" fontId="25" fillId="0" borderId="40" xfId="0" applyNumberFormat="1" applyFont="1" applyFill="1" applyBorder="1" applyAlignment="1" applyProtection="1">
      <alignment horizontal="left" vertical="center"/>
      <protection hidden="1"/>
    </xf>
    <xf numFmtId="0" fontId="25" fillId="0" borderId="46" xfId="0" applyNumberFormat="1" applyFont="1" applyFill="1" applyBorder="1" applyAlignment="1" applyProtection="1">
      <alignment horizontal="left" vertical="center"/>
      <protection hidden="1"/>
    </xf>
    <xf numFmtId="0" fontId="18" fillId="12" borderId="37" xfId="0" applyFont="1" applyFill="1" applyBorder="1" applyAlignment="1" applyProtection="1">
      <alignment horizontal="center" vertical="center"/>
      <protection hidden="1"/>
    </xf>
    <xf numFmtId="0" fontId="18" fillId="12" borderId="40" xfId="0" applyFont="1" applyFill="1" applyBorder="1" applyAlignment="1" applyProtection="1">
      <alignment horizontal="center" vertical="center"/>
      <protection hidden="1"/>
    </xf>
    <xf numFmtId="0" fontId="18" fillId="12" borderId="46" xfId="0" applyFont="1" applyFill="1" applyBorder="1" applyAlignment="1" applyProtection="1">
      <alignment horizontal="center" vertical="center"/>
      <protection hidden="1"/>
    </xf>
    <xf numFmtId="0" fontId="48" fillId="0" borderId="37" xfId="0" applyNumberFormat="1" applyFont="1" applyFill="1" applyBorder="1" applyAlignment="1" applyProtection="1">
      <alignment horizontal="center" vertical="center"/>
      <protection hidden="1"/>
    </xf>
    <xf numFmtId="0" fontId="48" fillId="0" borderId="40" xfId="0" applyNumberFormat="1" applyFont="1" applyFill="1" applyBorder="1" applyAlignment="1" applyProtection="1">
      <alignment horizontal="center" vertical="center"/>
      <protection hidden="1"/>
    </xf>
    <xf numFmtId="0" fontId="48" fillId="0" borderId="46" xfId="0" applyNumberFormat="1" applyFont="1" applyFill="1" applyBorder="1" applyAlignment="1" applyProtection="1">
      <alignment horizontal="center" vertical="center"/>
      <protection hidden="1"/>
    </xf>
    <xf numFmtId="0" fontId="36" fillId="0" borderId="37" xfId="0" applyFont="1" applyFill="1" applyBorder="1" applyAlignment="1" applyProtection="1">
      <alignment horizontal="center" vertical="center"/>
      <protection hidden="1"/>
    </xf>
    <xf numFmtId="0" fontId="36" fillId="0" borderId="40" xfId="0" applyFont="1" applyFill="1" applyBorder="1" applyAlignment="1" applyProtection="1">
      <alignment horizontal="center" vertical="center"/>
      <protection hidden="1"/>
    </xf>
    <xf numFmtId="0" fontId="36" fillId="0" borderId="46" xfId="0" applyFont="1" applyFill="1" applyBorder="1" applyAlignment="1" applyProtection="1">
      <alignment horizontal="center" vertical="center"/>
      <protection hidden="1"/>
    </xf>
    <xf numFmtId="0" fontId="18" fillId="12" borderId="39" xfId="0" applyFont="1" applyFill="1" applyBorder="1" applyAlignment="1" applyProtection="1">
      <alignment horizontal="center" vertical="center"/>
      <protection hidden="1"/>
    </xf>
    <xf numFmtId="0" fontId="18" fillId="12" borderId="73" xfId="0" applyFont="1" applyFill="1" applyBorder="1" applyAlignment="1" applyProtection="1">
      <alignment horizontal="center" vertical="center"/>
      <protection hidden="1"/>
    </xf>
    <xf numFmtId="0" fontId="18" fillId="12" borderId="34" xfId="0" applyFont="1" applyFill="1" applyBorder="1" applyAlignment="1" applyProtection="1">
      <alignment horizontal="center" vertical="center"/>
      <protection hidden="1"/>
    </xf>
    <xf numFmtId="0" fontId="18" fillId="12" borderId="13" xfId="0" applyFont="1" applyFill="1" applyBorder="1" applyAlignment="1" applyProtection="1">
      <alignment horizontal="center" vertical="center"/>
      <protection hidden="1"/>
    </xf>
    <xf numFmtId="0" fontId="35" fillId="0" borderId="39" xfId="0" applyFont="1" applyFill="1" applyBorder="1" applyAlignment="1" applyProtection="1">
      <alignment horizontal="center" vertical="center"/>
      <protection hidden="1"/>
    </xf>
    <xf numFmtId="0" fontId="35" fillId="0" borderId="40" xfId="0" applyFont="1" applyFill="1" applyBorder="1" applyAlignment="1" applyProtection="1">
      <alignment horizontal="center" vertical="center"/>
      <protection hidden="1"/>
    </xf>
    <xf numFmtId="0" fontId="35" fillId="0" borderId="74" xfId="0" applyFont="1" applyFill="1" applyBorder="1" applyAlignment="1" applyProtection="1">
      <alignment horizontal="center" vertical="center"/>
      <protection hidden="1"/>
    </xf>
    <xf numFmtId="0" fontId="36" fillId="0" borderId="39" xfId="0" applyFont="1" applyFill="1" applyBorder="1" applyAlignment="1" applyProtection="1">
      <alignment horizontal="center" vertical="center"/>
      <protection hidden="1"/>
    </xf>
    <xf numFmtId="0" fontId="48" fillId="0" borderId="39" xfId="0" applyNumberFormat="1" applyFont="1" applyFill="1" applyBorder="1" applyAlignment="1" applyProtection="1">
      <alignment horizontal="center" vertical="center"/>
      <protection hidden="1"/>
    </xf>
    <xf numFmtId="0" fontId="44" fillId="16" borderId="31" xfId="1" applyFont="1" applyFill="1" applyBorder="1" applyAlignment="1" applyProtection="1">
      <alignment horizontal="center" vertical="center"/>
      <protection locked="0"/>
    </xf>
    <xf numFmtId="0" fontId="44" fillId="16" borderId="12" xfId="1" applyFont="1" applyFill="1" applyBorder="1" applyAlignment="1" applyProtection="1">
      <alignment horizontal="center" vertical="center"/>
      <protection locked="0"/>
    </xf>
    <xf numFmtId="0" fontId="44" fillId="16" borderId="16" xfId="1" applyFont="1" applyFill="1" applyBorder="1" applyAlignment="1" applyProtection="1">
      <alignment horizontal="center" vertical="center"/>
      <protection locked="0"/>
    </xf>
    <xf numFmtId="0" fontId="44" fillId="16" borderId="34" xfId="1" applyFont="1" applyFill="1" applyBorder="1" applyAlignment="1" applyProtection="1">
      <alignment horizontal="center" vertical="center"/>
      <protection locked="0"/>
    </xf>
    <xf numFmtId="0" fontId="44" fillId="16" borderId="5" xfId="1" applyFont="1" applyFill="1" applyBorder="1" applyAlignment="1" applyProtection="1">
      <alignment horizontal="center" vertical="center"/>
      <protection locked="0"/>
    </xf>
    <xf numFmtId="0" fontId="44" fillId="16" borderId="13" xfId="1" applyFont="1" applyFill="1" applyBorder="1" applyAlignment="1" applyProtection="1">
      <alignment horizontal="center" vertical="center"/>
      <protection locked="0"/>
    </xf>
    <xf numFmtId="0" fontId="38" fillId="0" borderId="75" xfId="0" applyFont="1" applyFill="1" applyBorder="1" applyAlignment="1" applyProtection="1">
      <alignment horizontal="center" vertical="center"/>
      <protection hidden="1"/>
    </xf>
    <xf numFmtId="0" fontId="38" fillId="0" borderId="76" xfId="0" applyFont="1" applyFill="1" applyBorder="1" applyAlignment="1" applyProtection="1">
      <alignment horizontal="center" vertical="center"/>
      <protection hidden="1"/>
    </xf>
    <xf numFmtId="0" fontId="38" fillId="0" borderId="77" xfId="0" applyFont="1" applyFill="1" applyBorder="1" applyAlignment="1" applyProtection="1">
      <alignment horizontal="center" vertical="center"/>
      <protection hidden="1"/>
    </xf>
    <xf numFmtId="0" fontId="80" fillId="15" borderId="112" xfId="1" applyFont="1" applyFill="1" applyBorder="1" applyAlignment="1" applyProtection="1">
      <alignment horizontal="center" vertical="center"/>
      <protection locked="0"/>
    </xf>
    <xf numFmtId="0" fontId="80" fillId="15" borderId="114" xfId="1" applyFont="1" applyFill="1" applyBorder="1" applyAlignment="1" applyProtection="1">
      <alignment horizontal="center" vertical="center"/>
      <protection locked="0"/>
    </xf>
    <xf numFmtId="0" fontId="80" fillId="15" borderId="113" xfId="1" applyFont="1" applyFill="1" applyBorder="1" applyAlignment="1" applyProtection="1">
      <alignment horizontal="center" vertical="center"/>
      <protection locked="0"/>
    </xf>
    <xf numFmtId="0" fontId="23" fillId="0" borderId="0" xfId="0" applyFont="1" applyFill="1" applyAlignment="1" applyProtection="1">
      <alignment horizontal="center"/>
      <protection hidden="1"/>
    </xf>
    <xf numFmtId="0" fontId="8" fillId="0" borderId="37" xfId="0" applyFont="1" applyFill="1" applyBorder="1" applyAlignment="1" applyProtection="1">
      <alignment horizontal="center" vertical="center"/>
      <protection hidden="1"/>
    </xf>
    <xf numFmtId="0" fontId="8" fillId="0" borderId="46" xfId="0" applyFont="1" applyFill="1" applyBorder="1" applyAlignment="1" applyProtection="1">
      <alignment horizontal="center" vertical="center"/>
      <protection hidden="1"/>
    </xf>
    <xf numFmtId="0" fontId="93" fillId="0" borderId="1" xfId="0" applyFont="1" applyFill="1" applyBorder="1" applyAlignment="1" applyProtection="1">
      <alignment horizontal="center" vertical="center"/>
      <protection hidden="1"/>
    </xf>
    <xf numFmtId="0" fontId="12" fillId="34" borderId="47" xfId="0" applyFont="1" applyFill="1" applyBorder="1" applyAlignment="1">
      <alignment horizontal="center" vertical="center"/>
    </xf>
    <xf numFmtId="0" fontId="103" fillId="0" borderId="0" xfId="0" applyFont="1" applyAlignment="1">
      <alignment horizontal="center" vertical="center"/>
    </xf>
    <xf numFmtId="0" fontId="35" fillId="12" borderId="1" xfId="0" applyFont="1" applyFill="1" applyBorder="1" applyAlignment="1" applyProtection="1">
      <alignment horizontal="center" textRotation="90" wrapText="1"/>
      <protection hidden="1"/>
    </xf>
    <xf numFmtId="0" fontId="67" fillId="12" borderId="1" xfId="0" applyFont="1" applyFill="1" applyBorder="1" applyAlignment="1" applyProtection="1">
      <alignment horizontal="center" textRotation="90" wrapText="1"/>
      <protection hidden="1"/>
    </xf>
    <xf numFmtId="0" fontId="68" fillId="12" borderId="1" xfId="0" applyFont="1" applyFill="1" applyBorder="1" applyAlignment="1" applyProtection="1">
      <alignment horizontal="center" vertical="center"/>
      <protection hidden="1"/>
    </xf>
    <xf numFmtId="0" fontId="25" fillId="0" borderId="39" xfId="0" applyNumberFormat="1" applyFont="1" applyFill="1" applyBorder="1" applyAlignment="1" applyProtection="1">
      <alignment horizontal="left" vertical="center" wrapText="1"/>
      <protection hidden="1"/>
    </xf>
    <xf numFmtId="0" fontId="25" fillId="0" borderId="40" xfId="0" applyNumberFormat="1" applyFont="1" applyFill="1" applyBorder="1" applyAlignment="1" applyProtection="1">
      <alignment horizontal="left" vertical="center" wrapText="1"/>
      <protection hidden="1"/>
    </xf>
    <xf numFmtId="0" fontId="25" fillId="0" borderId="46" xfId="0" applyNumberFormat="1" applyFont="1" applyFill="1" applyBorder="1" applyAlignment="1" applyProtection="1">
      <alignment horizontal="left" vertical="center" wrapText="1"/>
      <protection hidden="1"/>
    </xf>
    <xf numFmtId="0" fontId="25" fillId="0" borderId="1" xfId="0" applyNumberFormat="1" applyFont="1" applyFill="1" applyBorder="1" applyAlignment="1" applyProtection="1">
      <alignment horizontal="left" vertical="center" wrapText="1"/>
      <protection hidden="1"/>
    </xf>
    <xf numFmtId="0" fontId="25" fillId="0" borderId="37" xfId="0" applyNumberFormat="1" applyFont="1" applyFill="1" applyBorder="1" applyAlignment="1" applyProtection="1">
      <alignment horizontal="left" vertical="center" wrapText="1"/>
      <protection hidden="1"/>
    </xf>
  </cellXfs>
  <cellStyles count="4">
    <cellStyle name="Hyperlink" xfId="1" builtinId="8"/>
    <cellStyle name="Normal" xfId="0" builtinId="0"/>
    <cellStyle name="Normal 10" xfId="3"/>
    <cellStyle name="Normal_Al Islam  Klas Xa Smt 1" xfId="2"/>
  </cellStyles>
  <dxfs count="4">
    <dxf>
      <fill>
        <patternFill>
          <bgColor rgb="FF0070C0"/>
        </patternFill>
      </fill>
    </dxf>
    <dxf>
      <fill>
        <patternFill>
          <bgColor rgb="FF00B0F0"/>
        </patternFill>
      </fill>
    </dxf>
    <dxf>
      <font>
        <condense val="0"/>
        <extend val="0"/>
        <color indexed="10"/>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s>
</file>

<file path=xl/ctrlProps/ctrlProp1.xml><?xml version="1.0" encoding="utf-8"?>
<formControlPr xmlns="http://schemas.microsoft.com/office/spreadsheetml/2009/9/main" objectType="Spin" dx="16" fmlaLink="$J$4" max="40" min="1" page="10" val="3"/>
</file>

<file path=xl/ctrlProps/ctrlProp2.xml><?xml version="1.0" encoding="utf-8"?>
<formControlPr xmlns="http://schemas.microsoft.com/office/spreadsheetml/2009/9/main" objectType="Spin" dx="16" fmlaLink="$M$5" max="40" min="1" page="10" val="2"/>
</file>

<file path=xl/ctrlProps/ctrlProp3.xml><?xml version="1.0" encoding="utf-8"?>
<formControlPr xmlns="http://schemas.microsoft.com/office/spreadsheetml/2009/9/main" objectType="Drop" dropLines="12" dropStyle="combo" dx="16" fmlaLink="$Q$6" fmlaRange="DataSiswa!$C$8:$C$47" sel="32" val="6"/>
</file>

<file path=xl/ctrlProps/ctrlProp4.xml><?xml version="1.0" encoding="utf-8"?>
<formControlPr xmlns="http://schemas.microsoft.com/office/spreadsheetml/2009/9/main" objectType="Drop" dropLines="12" dropStyle="combo" dx="16" fmlaLink="$L$7" fmlaRange="DataSiswa!$C$8:$C$47" sel="32" val="0"/>
</file>

<file path=xl/drawings/_rels/drawing1.xml.rels><?xml version="1.0" encoding="UTF-8" standalone="yes"?>
<Relationships xmlns="http://schemas.openxmlformats.org/package/2006/relationships"><Relationship Id="rId8" Type="http://schemas.openxmlformats.org/officeDocument/2006/relationships/hyperlink" Target="#Ekskur!A1"/><Relationship Id="rId3" Type="http://schemas.openxmlformats.org/officeDocument/2006/relationships/hyperlink" Target="#Deskripsi!Print_Area"/><Relationship Id="rId7" Type="http://schemas.openxmlformats.org/officeDocument/2006/relationships/hyperlink" Target="#DataGuru!A1"/><Relationship Id="rId12" Type="http://schemas.openxmlformats.org/officeDocument/2006/relationships/hyperlink" Target="#Photo!A1"/><Relationship Id="rId2" Type="http://schemas.openxmlformats.org/officeDocument/2006/relationships/hyperlink" Target="#Leger!A1"/><Relationship Id="rId1" Type="http://schemas.openxmlformats.org/officeDocument/2006/relationships/hyperlink" Target="#RAP13!A1"/><Relationship Id="rId6" Type="http://schemas.openxmlformats.org/officeDocument/2006/relationships/hyperlink" Target="#DataSiswa!A1"/><Relationship Id="rId11" Type="http://schemas.openxmlformats.org/officeDocument/2006/relationships/hyperlink" Target="#KEP!A1"/><Relationship Id="rId5" Type="http://schemas.openxmlformats.org/officeDocument/2006/relationships/image" Target="../media/image1.png"/><Relationship Id="rId10" Type="http://schemas.openxmlformats.org/officeDocument/2006/relationships/hyperlink" Target="#DIRI!A1"/><Relationship Id="rId4" Type="http://schemas.openxmlformats.org/officeDocument/2006/relationships/hyperlink" Target="#RANK!A1"/><Relationship Id="rId9" Type="http://schemas.openxmlformats.org/officeDocument/2006/relationships/hyperlink" Target="#Absen!A1"/></Relationships>
</file>

<file path=xl/drawings/_rels/drawing2.xml.rels><?xml version="1.0" encoding="UTF-8" standalone="yes"?>
<Relationships xmlns="http://schemas.openxmlformats.org/package/2006/relationships"><Relationship Id="rId1" Type="http://schemas.openxmlformats.org/officeDocument/2006/relationships/hyperlink" Target="#UTAMA!A1"/></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UTAMA!A1"/></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utama!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A1"/></Relationships>
</file>

<file path=xl/drawings/_rels/drawing8.xml.rels><?xml version="1.0" encoding="UTF-8" standalone="yes"?>
<Relationships xmlns="http://schemas.openxmlformats.org/package/2006/relationships"><Relationship Id="rId1" Type="http://schemas.openxmlformats.org/officeDocument/2006/relationships/hyperlink" Target="#UTAMA!A1"/></Relationships>
</file>

<file path=xl/drawings/_rels/drawing9.xml.rels><?xml version="1.0" encoding="UTF-8" standalone="yes"?>
<Relationships xmlns="http://schemas.openxmlformats.org/package/2006/relationships"><Relationship Id="rId1" Type="http://schemas.openxmlformats.org/officeDocument/2006/relationships/hyperlink" Target="#UTAMA!A1"/></Relationships>
</file>

<file path=xl/drawings/_rels/drawing10.xml.rels><?xml version="1.0" encoding="UTF-8" standalone="yes"?>
<Relationships xmlns="http://schemas.openxmlformats.org/package/2006/relationships"><Relationship Id="rId1" Type="http://schemas.openxmlformats.org/officeDocument/2006/relationships/hyperlink" Target="#UTAMA!A1"/></Relationships>
</file>

<file path=xl/drawings/_rels/drawing11.xml.rels><?xml version="1.0" encoding="UTF-8" standalone="yes"?>
<Relationships xmlns="http://schemas.openxmlformats.org/package/2006/relationships"><Relationship Id="rId1" Type="http://schemas.openxmlformats.org/officeDocument/2006/relationships/hyperlink" Target="#UTAMA!A1"/></Relationships>
</file>

<file path=xl/drawings/_rels/drawing12.xml.rels><?xml version="1.0" encoding="UTF-8" standalone="yes"?>
<Relationships xmlns="http://schemas.openxmlformats.org/package/2006/relationships"><Relationship Id="rId1" Type="http://schemas.openxmlformats.org/officeDocument/2006/relationships/hyperlink" Target="#UTAMA!A1"/></Relationships>
</file>

<file path=xl/drawings/_rels/drawing13.xml.rels><?xml version="1.0" encoding="UTF-8" standalone="yes"?>
<Relationships xmlns="http://schemas.openxmlformats.org/package/2006/relationships"><Relationship Id="rId1" Type="http://schemas.openxmlformats.org/officeDocument/2006/relationships/hyperlink" Target="#UTAMA!A1"/></Relationships>
</file>

<file path=xl/drawings/_rels/drawing14.xml.rels><?xml version="1.0" encoding="UTF-8" standalone="yes"?>
<Relationships xmlns="http://schemas.openxmlformats.org/package/2006/relationships"><Relationship Id="rId1" Type="http://schemas.openxmlformats.org/officeDocument/2006/relationships/hyperlink" Target="#UTAMA!A1"/></Relationships>
</file>

<file path=xl/drawings/_rels/drawing15.xml.rels><?xml version="1.0" encoding="UTF-8" standalone="yes"?>
<Relationships xmlns="http://schemas.openxmlformats.org/package/2006/relationships"><Relationship Id="rId1" Type="http://schemas.openxmlformats.org/officeDocument/2006/relationships/hyperlink" Target="#UTAMA!A1"/></Relationships>
</file>

<file path=xl/drawings/_rels/drawing16.xml.rels><?xml version="1.0" encoding="UTF-8" standalone="yes"?>
<Relationships xmlns="http://schemas.openxmlformats.org/package/2006/relationships"><Relationship Id="rId1" Type="http://schemas.openxmlformats.org/officeDocument/2006/relationships/hyperlink" Target="#UTAMA!A1"/></Relationships>
</file>

<file path=xl/drawings/_rels/drawing17.xml.rels><?xml version="1.0" encoding="UTF-8" standalone="yes"?>
<Relationships xmlns="http://schemas.openxmlformats.org/package/2006/relationships"><Relationship Id="rId1" Type="http://schemas.openxmlformats.org/officeDocument/2006/relationships/hyperlink" Target="#UTAMA!A1"/></Relationships>
</file>

<file path=xl/drawings/_rels/drawing18.xml.rels><?xml version="1.0" encoding="UTF-8" standalone="yes"?>
<Relationships xmlns="http://schemas.openxmlformats.org/package/2006/relationships"><Relationship Id="rId1" Type="http://schemas.openxmlformats.org/officeDocument/2006/relationships/hyperlink" Target="#UTAMA!A1"/></Relationships>
</file>

<file path=xl/drawings/_rels/drawing19.xml.rels><?xml version="1.0" encoding="UTF-8" standalone="yes"?>
<Relationships xmlns="http://schemas.openxmlformats.org/package/2006/relationships"><Relationship Id="rId1" Type="http://schemas.openxmlformats.org/officeDocument/2006/relationships/hyperlink" Target="#UTAMA!A1"/></Relationships>
</file>

<file path=xl/drawings/_rels/drawing20.xml.rels><?xml version="1.0" encoding="UTF-8" standalone="yes"?>
<Relationships xmlns="http://schemas.openxmlformats.org/package/2006/relationships"><Relationship Id="rId1" Type="http://schemas.openxmlformats.org/officeDocument/2006/relationships/hyperlink" Target="#UTAMA!A1"/></Relationships>
</file>

<file path=xl/drawings/_rels/drawing23.xml.rels><?xml version="1.0" encoding="UTF-8" standalone="yes"?>
<Relationships xmlns="http://schemas.openxmlformats.org/package/2006/relationships"><Relationship Id="rId3" Type="http://schemas.openxmlformats.org/officeDocument/2006/relationships/hyperlink" Target="#'RAP13'!A1"/><Relationship Id="rId2" Type="http://schemas.openxmlformats.org/officeDocument/2006/relationships/image" Target="../media/image2.png"/><Relationship Id="rId1" Type="http://schemas.openxmlformats.org/officeDocument/2006/relationships/hyperlink" Target="#utama!A1"/><Relationship Id="rId4" Type="http://schemas.openxmlformats.org/officeDocument/2006/relationships/image" Target="../media/image4.emf"/></Relationships>
</file>

<file path=xl/drawings/_rels/drawing24.xml.rels><?xml version="1.0" encoding="UTF-8" standalone="yes"?>
<Relationships xmlns="http://schemas.openxmlformats.org/package/2006/relationships"><Relationship Id="rId1" Type="http://schemas.openxmlformats.org/officeDocument/2006/relationships/hyperlink" Target="#DIRI!A1"/></Relationships>
</file>

<file path=xl/drawings/_rels/drawing2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oneCellAnchor>
    <xdr:from>
      <xdr:col>10</xdr:col>
      <xdr:colOff>161924</xdr:colOff>
      <xdr:row>6</xdr:row>
      <xdr:rowOff>85725</xdr:rowOff>
    </xdr:from>
    <xdr:ext cx="1419225" cy="328295"/>
    <xdr:sp macro="" textlink="">
      <xdr:nvSpPr>
        <xdr:cNvPr id="2" name="Rectangle 1">
          <a:hlinkClick xmlns:r="http://schemas.openxmlformats.org/officeDocument/2006/relationships" r:id="rId1"/>
        </xdr:cNvPr>
        <xdr:cNvSpPr/>
      </xdr:nvSpPr>
      <xdr:spPr>
        <a:xfrm>
          <a:off x="6543674" y="1000125"/>
          <a:ext cx="1419225" cy="328295"/>
        </a:xfrm>
        <a:prstGeom prst="rect">
          <a:avLst/>
        </a:prstGeom>
        <a:solidFill>
          <a:srgbClr val="92D05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Raport</a:t>
          </a:r>
        </a:p>
      </xdr:txBody>
    </xdr:sp>
    <xdr:clientData/>
  </xdr:oneCellAnchor>
  <xdr:oneCellAnchor>
    <xdr:from>
      <xdr:col>10</xdr:col>
      <xdr:colOff>198373</xdr:colOff>
      <xdr:row>14</xdr:row>
      <xdr:rowOff>181513</xdr:rowOff>
    </xdr:from>
    <xdr:ext cx="1382777" cy="328295"/>
    <xdr:sp macro="" textlink="">
      <xdr:nvSpPr>
        <xdr:cNvPr id="3" name="Rectangle 2">
          <a:hlinkClick xmlns:r="http://schemas.openxmlformats.org/officeDocument/2006/relationships" r:id="rId2"/>
        </xdr:cNvPr>
        <xdr:cNvSpPr/>
      </xdr:nvSpPr>
      <xdr:spPr>
        <a:xfrm>
          <a:off x="6580123" y="2543713"/>
          <a:ext cx="1382777" cy="328295"/>
        </a:xfrm>
        <a:prstGeom prst="rect">
          <a:avLst/>
        </a:prstGeom>
        <a:solidFill>
          <a:srgbClr val="92D05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Leger</a:t>
          </a:r>
        </a:p>
      </xdr:txBody>
    </xdr:sp>
    <xdr:clientData/>
  </xdr:oneCellAnchor>
  <xdr:oneCellAnchor>
    <xdr:from>
      <xdr:col>10</xdr:col>
      <xdr:colOff>180975</xdr:colOff>
      <xdr:row>10</xdr:row>
      <xdr:rowOff>114300</xdr:rowOff>
    </xdr:from>
    <xdr:ext cx="1401826" cy="374141"/>
    <xdr:sp macro="" textlink="">
      <xdr:nvSpPr>
        <xdr:cNvPr id="4" name="Rectangle 3">
          <a:hlinkClick xmlns:r="http://schemas.openxmlformats.org/officeDocument/2006/relationships" r:id="rId3"/>
        </xdr:cNvPr>
        <xdr:cNvSpPr/>
      </xdr:nvSpPr>
      <xdr:spPr>
        <a:xfrm>
          <a:off x="6562725" y="1733550"/>
          <a:ext cx="1401826" cy="374141"/>
        </a:xfrm>
        <a:prstGeom prst="rect">
          <a:avLst/>
        </a:prstGeom>
        <a:solidFill>
          <a:srgbClr val="92D05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800" b="1" cap="none" spc="0" baseline="0">
              <a:ln w="12700">
                <a:noFill/>
                <a:prstDash val="solid"/>
              </a:ln>
              <a:solidFill>
                <a:sysClr val="windowText" lastClr="000000"/>
              </a:solidFill>
              <a:effectLst>
                <a:outerShdw blurRad="41275" dist="20320" dir="1800000" algn="tl" rotWithShape="0">
                  <a:srgbClr val="000000">
                    <a:alpha val="40000"/>
                  </a:srgbClr>
                </a:outerShdw>
              </a:effectLst>
            </a:rPr>
            <a:t> </a:t>
          </a:r>
          <a:r>
            <a:rPr lang="en-US" sz="1200" b="0" cap="none" spc="0" baseline="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DESKRIPSI</a:t>
          </a:r>
          <a:endParaRPr lang="en-US" sz="12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endParaRPr>
        </a:p>
      </xdr:txBody>
    </xdr:sp>
    <xdr:clientData/>
  </xdr:oneCellAnchor>
  <xdr:oneCellAnchor>
    <xdr:from>
      <xdr:col>10</xdr:col>
      <xdr:colOff>161924</xdr:colOff>
      <xdr:row>20</xdr:row>
      <xdr:rowOff>12429</xdr:rowOff>
    </xdr:from>
    <xdr:ext cx="1381126" cy="342786"/>
    <xdr:sp macro="" textlink="">
      <xdr:nvSpPr>
        <xdr:cNvPr id="5" name="Rectangle 4">
          <a:hlinkClick xmlns:r="http://schemas.openxmlformats.org/officeDocument/2006/relationships" r:id="rId4"/>
        </xdr:cNvPr>
        <xdr:cNvSpPr/>
      </xdr:nvSpPr>
      <xdr:spPr>
        <a:xfrm>
          <a:off x="6543674" y="3317604"/>
          <a:ext cx="1381126" cy="342786"/>
        </a:xfrm>
        <a:prstGeom prst="rect">
          <a:avLst/>
        </a:prstGeom>
        <a:solidFill>
          <a:srgbClr val="92D05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chemeClr val="tx1"/>
              </a:solidFill>
              <a:effectLst>
                <a:outerShdw blurRad="41275" dist="20320" dir="1800000" algn="tl" rotWithShape="0">
                  <a:srgbClr val="000000">
                    <a:alpha val="40000"/>
                  </a:srgbClr>
                </a:outerShdw>
              </a:effectLst>
            </a:rPr>
            <a:t>Ranking</a:t>
          </a:r>
        </a:p>
      </xdr:txBody>
    </xdr:sp>
    <xdr:clientData/>
  </xdr:oneCellAnchor>
  <xdr:twoCellAnchor>
    <xdr:from>
      <xdr:col>9</xdr:col>
      <xdr:colOff>495300</xdr:colOff>
      <xdr:row>6</xdr:row>
      <xdr:rowOff>19050</xdr:rowOff>
    </xdr:from>
    <xdr:to>
      <xdr:col>10</xdr:col>
      <xdr:colOff>409575</xdr:colOff>
      <xdr:row>8</xdr:row>
      <xdr:rowOff>114300</xdr:rowOff>
    </xdr:to>
    <xdr:pic>
      <xdr:nvPicPr>
        <xdr:cNvPr id="94895"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514975" y="1104900"/>
          <a:ext cx="5238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495300</xdr:colOff>
      <xdr:row>10</xdr:row>
      <xdr:rowOff>47625</xdr:rowOff>
    </xdr:from>
    <xdr:to>
      <xdr:col>10</xdr:col>
      <xdr:colOff>409575</xdr:colOff>
      <xdr:row>12</xdr:row>
      <xdr:rowOff>114300</xdr:rowOff>
    </xdr:to>
    <xdr:pic>
      <xdr:nvPicPr>
        <xdr:cNvPr id="94896"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514975" y="2066925"/>
          <a:ext cx="5238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485775</xdr:colOff>
      <xdr:row>14</xdr:row>
      <xdr:rowOff>104775</xdr:rowOff>
    </xdr:from>
    <xdr:to>
      <xdr:col>10</xdr:col>
      <xdr:colOff>400050</xdr:colOff>
      <xdr:row>17</xdr:row>
      <xdr:rowOff>133350</xdr:rowOff>
    </xdr:to>
    <xdr:pic>
      <xdr:nvPicPr>
        <xdr:cNvPr id="94897"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505450" y="3133725"/>
          <a:ext cx="5238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542925</xdr:colOff>
      <xdr:row>19</xdr:row>
      <xdr:rowOff>152400</xdr:rowOff>
    </xdr:from>
    <xdr:to>
      <xdr:col>10</xdr:col>
      <xdr:colOff>457200</xdr:colOff>
      <xdr:row>22</xdr:row>
      <xdr:rowOff>142875</xdr:rowOff>
    </xdr:to>
    <xdr:pic>
      <xdr:nvPicPr>
        <xdr:cNvPr id="94898"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562600" y="4200525"/>
          <a:ext cx="5238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oneCellAnchor>
    <xdr:from>
      <xdr:col>2</xdr:col>
      <xdr:colOff>352424</xdr:colOff>
      <xdr:row>10</xdr:row>
      <xdr:rowOff>133350</xdr:rowOff>
    </xdr:from>
    <xdr:ext cx="1981201" cy="328295"/>
    <xdr:sp macro="" textlink="">
      <xdr:nvSpPr>
        <xdr:cNvPr id="10" name="Rectangle 9">
          <a:hlinkClick xmlns:r="http://schemas.openxmlformats.org/officeDocument/2006/relationships" r:id="rId6"/>
        </xdr:cNvPr>
        <xdr:cNvSpPr/>
      </xdr:nvSpPr>
      <xdr:spPr>
        <a:xfrm>
          <a:off x="1466849" y="1752600"/>
          <a:ext cx="1981201" cy="328295"/>
        </a:xfrm>
        <a:prstGeom prst="rect">
          <a:avLst/>
        </a:prstGeom>
        <a:solidFill>
          <a:srgbClr val="FFC00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Data</a:t>
          </a:r>
          <a:r>
            <a:rPr lang="en-US" sz="1600" b="0" cap="none" spc="0" baseline="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 Siswa</a:t>
          </a:r>
          <a:endPar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endParaRPr>
        </a:p>
      </xdr:txBody>
    </xdr:sp>
    <xdr:clientData/>
  </xdr:oneCellAnchor>
  <xdr:oneCellAnchor>
    <xdr:from>
      <xdr:col>2</xdr:col>
      <xdr:colOff>361950</xdr:colOff>
      <xdr:row>6</xdr:row>
      <xdr:rowOff>38098</xdr:rowOff>
    </xdr:from>
    <xdr:ext cx="1952626" cy="502702"/>
    <xdr:sp macro="" textlink="">
      <xdr:nvSpPr>
        <xdr:cNvPr id="11" name="Rectangle 10">
          <a:hlinkClick xmlns:r="http://schemas.openxmlformats.org/officeDocument/2006/relationships" r:id="rId7"/>
        </xdr:cNvPr>
        <xdr:cNvSpPr/>
      </xdr:nvSpPr>
      <xdr:spPr>
        <a:xfrm>
          <a:off x="974271" y="1206044"/>
          <a:ext cx="1952626" cy="502702"/>
        </a:xfrm>
        <a:prstGeom prst="rect">
          <a:avLst/>
        </a:prstGeom>
        <a:solidFill>
          <a:srgbClr val="FFC00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lnSpc>
              <a:spcPts val="1600"/>
            </a:lnSpc>
          </a:pPr>
          <a:r>
            <a:rPr lang="en-US" sz="1600" b="0" cap="none" spc="0" baseline="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Indentitas Sekolah &amp; Guru  Mata Pelajaran</a:t>
          </a:r>
        </a:p>
      </xdr:txBody>
    </xdr:sp>
    <xdr:clientData/>
  </xdr:oneCellAnchor>
  <xdr:twoCellAnchor>
    <xdr:from>
      <xdr:col>1</xdr:col>
      <xdr:colOff>142875</xdr:colOff>
      <xdr:row>6</xdr:row>
      <xdr:rowOff>9525</xdr:rowOff>
    </xdr:from>
    <xdr:to>
      <xdr:col>2</xdr:col>
      <xdr:colOff>581025</xdr:colOff>
      <xdr:row>9</xdr:row>
      <xdr:rowOff>19050</xdr:rowOff>
    </xdr:to>
    <xdr:pic>
      <xdr:nvPicPr>
        <xdr:cNvPr id="94901"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52475" y="1095375"/>
          <a:ext cx="581025"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57150</xdr:colOff>
      <xdr:row>10</xdr:row>
      <xdr:rowOff>66675</xdr:rowOff>
    </xdr:from>
    <xdr:to>
      <xdr:col>3</xdr:col>
      <xdr:colOff>28575</xdr:colOff>
      <xdr:row>12</xdr:row>
      <xdr:rowOff>142875</xdr:rowOff>
    </xdr:to>
    <xdr:pic>
      <xdr:nvPicPr>
        <xdr:cNvPr id="94902"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09625" y="2085975"/>
          <a:ext cx="5810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oneCellAnchor>
    <xdr:from>
      <xdr:col>7</xdr:col>
      <xdr:colOff>76199</xdr:colOff>
      <xdr:row>6</xdr:row>
      <xdr:rowOff>53974</xdr:rowOff>
    </xdr:from>
    <xdr:ext cx="1419225" cy="328295"/>
    <xdr:sp macro="" textlink="">
      <xdr:nvSpPr>
        <xdr:cNvPr id="15" name="Rectangle 14">
          <a:hlinkClick xmlns:r="http://schemas.openxmlformats.org/officeDocument/2006/relationships" r:id="rId7"/>
        </xdr:cNvPr>
        <xdr:cNvSpPr/>
      </xdr:nvSpPr>
      <xdr:spPr>
        <a:xfrm>
          <a:off x="3897538" y="1153885"/>
          <a:ext cx="1419225" cy="328295"/>
        </a:xfrm>
        <a:prstGeom prst="rect">
          <a:avLst/>
        </a:prstGeom>
        <a:solidFill>
          <a:srgbClr val="FF000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Mata</a:t>
          </a:r>
          <a:r>
            <a:rPr lang="en-US" sz="1600" b="0" cap="none" spc="0" baseline="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 Pelajaran</a:t>
          </a:r>
          <a:endPar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endParaRPr>
        </a:p>
      </xdr:txBody>
    </xdr:sp>
    <xdr:clientData/>
  </xdr:oneCellAnchor>
  <xdr:oneCellAnchor>
    <xdr:from>
      <xdr:col>7</xdr:col>
      <xdr:colOff>38099</xdr:colOff>
      <xdr:row>15</xdr:row>
      <xdr:rowOff>38100</xdr:rowOff>
    </xdr:from>
    <xdr:ext cx="1419225" cy="328295"/>
    <xdr:sp macro="" textlink="">
      <xdr:nvSpPr>
        <xdr:cNvPr id="16" name="Rectangle 15">
          <a:hlinkClick xmlns:r="http://schemas.openxmlformats.org/officeDocument/2006/relationships" r:id="rId8"/>
        </xdr:cNvPr>
        <xdr:cNvSpPr/>
      </xdr:nvSpPr>
      <xdr:spPr>
        <a:xfrm>
          <a:off x="4410074" y="2581275"/>
          <a:ext cx="1419225" cy="328295"/>
        </a:xfrm>
        <a:prstGeom prst="rect">
          <a:avLst/>
        </a:prstGeom>
        <a:solidFill>
          <a:srgbClr val="FF000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Ekskul</a:t>
          </a:r>
        </a:p>
      </xdr:txBody>
    </xdr:sp>
    <xdr:clientData/>
  </xdr:oneCellAnchor>
  <xdr:oneCellAnchor>
    <xdr:from>
      <xdr:col>7</xdr:col>
      <xdr:colOff>136976</xdr:colOff>
      <xdr:row>10</xdr:row>
      <xdr:rowOff>134712</xdr:rowOff>
    </xdr:from>
    <xdr:ext cx="1419225" cy="328295"/>
    <xdr:sp macro="" textlink="">
      <xdr:nvSpPr>
        <xdr:cNvPr id="17" name="Rectangle 16">
          <a:hlinkClick xmlns:r="http://schemas.openxmlformats.org/officeDocument/2006/relationships" r:id="rId9"/>
        </xdr:cNvPr>
        <xdr:cNvSpPr/>
      </xdr:nvSpPr>
      <xdr:spPr>
        <a:xfrm>
          <a:off x="3958315" y="2175783"/>
          <a:ext cx="1419225" cy="328295"/>
        </a:xfrm>
        <a:prstGeom prst="rect">
          <a:avLst/>
        </a:prstGeom>
        <a:solidFill>
          <a:srgbClr val="FF000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Absen</a:t>
          </a:r>
        </a:p>
      </xdr:txBody>
    </xdr:sp>
    <xdr:clientData/>
  </xdr:oneCellAnchor>
  <xdr:twoCellAnchor>
    <xdr:from>
      <xdr:col>6</xdr:col>
      <xdr:colOff>428625</xdr:colOff>
      <xdr:row>6</xdr:row>
      <xdr:rowOff>19050</xdr:rowOff>
    </xdr:from>
    <xdr:to>
      <xdr:col>7</xdr:col>
      <xdr:colOff>352425</xdr:colOff>
      <xdr:row>8</xdr:row>
      <xdr:rowOff>133350</xdr:rowOff>
    </xdr:to>
    <xdr:pic>
      <xdr:nvPicPr>
        <xdr:cNvPr id="94906"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619500" y="1104900"/>
          <a:ext cx="53340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6</xdr:col>
      <xdr:colOff>419100</xdr:colOff>
      <xdr:row>10</xdr:row>
      <xdr:rowOff>28575</xdr:rowOff>
    </xdr:from>
    <xdr:to>
      <xdr:col>7</xdr:col>
      <xdr:colOff>342900</xdr:colOff>
      <xdr:row>12</xdr:row>
      <xdr:rowOff>180975</xdr:rowOff>
    </xdr:to>
    <xdr:pic>
      <xdr:nvPicPr>
        <xdr:cNvPr id="94907"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609975" y="2047875"/>
          <a:ext cx="53340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6</xdr:col>
      <xdr:colOff>400050</xdr:colOff>
      <xdr:row>14</xdr:row>
      <xdr:rowOff>152400</xdr:rowOff>
    </xdr:from>
    <xdr:to>
      <xdr:col>7</xdr:col>
      <xdr:colOff>323850</xdr:colOff>
      <xdr:row>17</xdr:row>
      <xdr:rowOff>190500</xdr:rowOff>
    </xdr:to>
    <xdr:pic>
      <xdr:nvPicPr>
        <xdr:cNvPr id="94908"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90925" y="3181350"/>
          <a:ext cx="5334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4</xdr:col>
      <xdr:colOff>34018</xdr:colOff>
      <xdr:row>8</xdr:row>
      <xdr:rowOff>181428</xdr:rowOff>
    </xdr:from>
    <xdr:to>
      <xdr:col>4</xdr:col>
      <xdr:colOff>147411</xdr:colOff>
      <xdr:row>10</xdr:row>
      <xdr:rowOff>121555</xdr:rowOff>
    </xdr:to>
    <xdr:sp macro="" textlink="">
      <xdr:nvSpPr>
        <xdr:cNvPr id="21" name="Down Arrow 20"/>
        <xdr:cNvSpPr/>
      </xdr:nvSpPr>
      <xdr:spPr>
        <a:xfrm>
          <a:off x="1870982" y="1825624"/>
          <a:ext cx="113393" cy="405038"/>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4</xdr:col>
      <xdr:colOff>1</xdr:colOff>
      <xdr:row>12</xdr:row>
      <xdr:rowOff>133349</xdr:rowOff>
    </xdr:from>
    <xdr:to>
      <xdr:col>4</xdr:col>
      <xdr:colOff>85725</xdr:colOff>
      <xdr:row>14</xdr:row>
      <xdr:rowOff>180974</xdr:rowOff>
    </xdr:to>
    <xdr:sp macro="" textlink="">
      <xdr:nvSpPr>
        <xdr:cNvPr id="22" name="Down Arrow 21"/>
        <xdr:cNvSpPr/>
      </xdr:nvSpPr>
      <xdr:spPr>
        <a:xfrm>
          <a:off x="2419351" y="2152649"/>
          <a:ext cx="85724" cy="390525"/>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8</xdr:col>
      <xdr:colOff>66676</xdr:colOff>
      <xdr:row>8</xdr:row>
      <xdr:rowOff>38099</xdr:rowOff>
    </xdr:from>
    <xdr:to>
      <xdr:col>8</xdr:col>
      <xdr:colOff>152400</xdr:colOff>
      <xdr:row>10</xdr:row>
      <xdr:rowOff>85724</xdr:rowOff>
    </xdr:to>
    <xdr:sp macro="" textlink="">
      <xdr:nvSpPr>
        <xdr:cNvPr id="23" name="Down Arrow 22"/>
        <xdr:cNvSpPr/>
      </xdr:nvSpPr>
      <xdr:spPr>
        <a:xfrm>
          <a:off x="5086351" y="1333499"/>
          <a:ext cx="85724" cy="371475"/>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8</xdr:col>
      <xdr:colOff>66676</xdr:colOff>
      <xdr:row>12</xdr:row>
      <xdr:rowOff>104774</xdr:rowOff>
    </xdr:from>
    <xdr:to>
      <xdr:col>8</xdr:col>
      <xdr:colOff>152400</xdr:colOff>
      <xdr:row>14</xdr:row>
      <xdr:rowOff>152399</xdr:rowOff>
    </xdr:to>
    <xdr:sp macro="" textlink="">
      <xdr:nvSpPr>
        <xdr:cNvPr id="24" name="Down Arrow 23"/>
        <xdr:cNvSpPr/>
      </xdr:nvSpPr>
      <xdr:spPr>
        <a:xfrm>
          <a:off x="5086351" y="2124074"/>
          <a:ext cx="85724" cy="419100"/>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10</xdr:col>
      <xdr:colOff>762001</xdr:colOff>
      <xdr:row>8</xdr:row>
      <xdr:rowOff>66674</xdr:rowOff>
    </xdr:from>
    <xdr:to>
      <xdr:col>10</xdr:col>
      <xdr:colOff>847725</xdr:colOff>
      <xdr:row>10</xdr:row>
      <xdr:rowOff>114299</xdr:rowOff>
    </xdr:to>
    <xdr:sp macro="" textlink="">
      <xdr:nvSpPr>
        <xdr:cNvPr id="25" name="Down Arrow 24"/>
        <xdr:cNvSpPr/>
      </xdr:nvSpPr>
      <xdr:spPr>
        <a:xfrm>
          <a:off x="7143751" y="1362074"/>
          <a:ext cx="85724" cy="371475"/>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10</xdr:col>
      <xdr:colOff>800101</xdr:colOff>
      <xdr:row>12</xdr:row>
      <xdr:rowOff>114299</xdr:rowOff>
    </xdr:from>
    <xdr:to>
      <xdr:col>10</xdr:col>
      <xdr:colOff>885825</xdr:colOff>
      <xdr:row>14</xdr:row>
      <xdr:rowOff>161924</xdr:rowOff>
    </xdr:to>
    <xdr:sp macro="" textlink="">
      <xdr:nvSpPr>
        <xdr:cNvPr id="26" name="Down Arrow 25"/>
        <xdr:cNvSpPr/>
      </xdr:nvSpPr>
      <xdr:spPr>
        <a:xfrm>
          <a:off x="7181851" y="2133599"/>
          <a:ext cx="85724" cy="409575"/>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10</xdr:col>
      <xdr:colOff>807996</xdr:colOff>
      <xdr:row>16</xdr:row>
      <xdr:rowOff>154444</xdr:rowOff>
    </xdr:from>
    <xdr:to>
      <xdr:col>10</xdr:col>
      <xdr:colOff>893720</xdr:colOff>
      <xdr:row>20</xdr:row>
      <xdr:rowOff>9542</xdr:rowOff>
    </xdr:to>
    <xdr:sp macro="" textlink="">
      <xdr:nvSpPr>
        <xdr:cNvPr id="27" name="Down Arrow 26"/>
        <xdr:cNvSpPr/>
      </xdr:nvSpPr>
      <xdr:spPr>
        <a:xfrm>
          <a:off x="7189746" y="2888119"/>
          <a:ext cx="85724" cy="426598"/>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9</xdr:col>
      <xdr:colOff>104775</xdr:colOff>
      <xdr:row>7</xdr:row>
      <xdr:rowOff>28575</xdr:rowOff>
    </xdr:from>
    <xdr:to>
      <xdr:col>10</xdr:col>
      <xdr:colOff>38100</xdr:colOff>
      <xdr:row>21</xdr:row>
      <xdr:rowOff>38100</xdr:rowOff>
    </xdr:to>
    <xdr:grpSp>
      <xdr:nvGrpSpPr>
        <xdr:cNvPr id="94916" name="Group 24"/>
        <xdr:cNvGrpSpPr>
          <a:grpSpLocks/>
        </xdr:cNvGrpSpPr>
      </xdr:nvGrpSpPr>
      <xdr:grpSpPr bwMode="auto">
        <a:xfrm>
          <a:off x="5153025" y="1362075"/>
          <a:ext cx="545646" cy="3166382"/>
          <a:chOff x="7591" y="2295"/>
          <a:chExt cx="1004" cy="2766"/>
        </a:xfrm>
      </xdr:grpSpPr>
      <xdr:sp macro="" textlink="">
        <xdr:nvSpPr>
          <xdr:cNvPr id="94932" name="Straight Connector 12"/>
          <xdr:cNvSpPr>
            <a:spLocks noChangeShapeType="1"/>
          </xdr:cNvSpPr>
        </xdr:nvSpPr>
        <xdr:spPr bwMode="auto">
          <a:xfrm flipV="1">
            <a:off x="7591" y="5053"/>
            <a:ext cx="423" cy="8"/>
          </a:xfrm>
          <a:prstGeom prst="line">
            <a:avLst/>
          </a:prstGeom>
          <a:noFill/>
          <a:ln w="47520" cap="sq">
            <a:solidFill>
              <a:srgbClr val="BF974D"/>
            </a:solidFill>
            <a:miter lim="800000"/>
            <a:headEnd/>
            <a:tailEnd/>
          </a:ln>
          <a:effectLst>
            <a:outerShdw dist="108733" dir="399266" algn="ctr" rotWithShape="0">
              <a:srgbClr val="000000">
                <a:alpha val="50026"/>
              </a:srgbClr>
            </a:outerShdw>
          </a:effectLst>
          <a:extLst>
            <a:ext uri="{909E8E84-426E-40DD-AFC4-6F175D3DCCD1}">
              <a14:hiddenFill xmlns:a14="http://schemas.microsoft.com/office/drawing/2010/main">
                <a:noFill/>
              </a14:hiddenFill>
            </a:ext>
          </a:extLst>
        </xdr:spPr>
      </xdr:sp>
      <xdr:sp macro="" textlink="">
        <xdr:nvSpPr>
          <xdr:cNvPr id="94933" name="Straight Connector 14"/>
          <xdr:cNvSpPr>
            <a:spLocks noChangeShapeType="1"/>
          </xdr:cNvSpPr>
        </xdr:nvSpPr>
        <xdr:spPr bwMode="auto">
          <a:xfrm flipV="1">
            <a:off x="8014" y="2295"/>
            <a:ext cx="18" cy="2766"/>
          </a:xfrm>
          <a:prstGeom prst="line">
            <a:avLst/>
          </a:prstGeom>
          <a:noFill/>
          <a:ln w="47520" cap="sq">
            <a:solidFill>
              <a:srgbClr val="FD4E2B"/>
            </a:solidFill>
            <a:miter lim="800000"/>
            <a:headEnd/>
            <a:tailEnd/>
          </a:ln>
          <a:effectLst>
            <a:outerShdw dist="108733" dir="399266" algn="ctr" rotWithShape="0">
              <a:srgbClr val="000000">
                <a:alpha val="50026"/>
              </a:srgbClr>
            </a:outerShdw>
          </a:effectLst>
          <a:extLst>
            <a:ext uri="{909E8E84-426E-40DD-AFC4-6F175D3DCCD1}">
              <a14:hiddenFill xmlns:a14="http://schemas.microsoft.com/office/drawing/2010/main">
                <a:noFill/>
              </a14:hiddenFill>
            </a:ext>
          </a:extLst>
        </xdr:spPr>
      </xdr:sp>
      <xdr:cxnSp macro="">
        <xdr:nvCxnSpPr>
          <xdr:cNvPr id="94934" name="Straight Arrow Connector 16"/>
          <xdr:cNvCxnSpPr>
            <a:cxnSpLocks noChangeShapeType="1"/>
          </xdr:cNvCxnSpPr>
        </xdr:nvCxnSpPr>
        <xdr:spPr bwMode="auto">
          <a:xfrm>
            <a:off x="8014" y="2303"/>
            <a:ext cx="581" cy="25"/>
          </a:xfrm>
          <a:prstGeom prst="straightConnector1">
            <a:avLst/>
          </a:prstGeom>
          <a:noFill/>
          <a:ln w="47520" cap="sq">
            <a:solidFill>
              <a:srgbClr val="BF974D"/>
            </a:solidFill>
            <a:miter lim="800000"/>
            <a:headEnd/>
            <a:tailEnd type="triangle" w="med" len="med"/>
          </a:ln>
          <a:effectLst>
            <a:outerShdw dist="108733" dir="399266" algn="ctr" rotWithShape="0">
              <a:srgbClr val="000000">
                <a:alpha val="50026"/>
              </a:srgbClr>
            </a:outerShdw>
          </a:effectLst>
          <a:extLst>
            <a:ext uri="{909E8E84-426E-40DD-AFC4-6F175D3DCCD1}">
              <a14:hiddenFill xmlns:a14="http://schemas.microsoft.com/office/drawing/2010/main">
                <a:noFill/>
              </a14:hiddenFill>
            </a:ext>
          </a:extLst>
        </xdr:spPr>
      </xdr:cxnSp>
    </xdr:grpSp>
    <xdr:clientData/>
  </xdr:twoCellAnchor>
  <xdr:twoCellAnchor>
    <xdr:from>
      <xdr:col>5</xdr:col>
      <xdr:colOff>400050</xdr:colOff>
      <xdr:row>6</xdr:row>
      <xdr:rowOff>180975</xdr:rowOff>
    </xdr:from>
    <xdr:to>
      <xdr:col>6</xdr:col>
      <xdr:colOff>409575</xdr:colOff>
      <xdr:row>15</xdr:row>
      <xdr:rowOff>200025</xdr:rowOff>
    </xdr:to>
    <xdr:grpSp>
      <xdr:nvGrpSpPr>
        <xdr:cNvPr id="94917" name="Group 24"/>
        <xdr:cNvGrpSpPr>
          <a:grpSpLocks/>
        </xdr:cNvGrpSpPr>
      </xdr:nvGrpSpPr>
      <xdr:grpSpPr bwMode="auto">
        <a:xfrm>
          <a:off x="2999014" y="1269546"/>
          <a:ext cx="621847" cy="2196193"/>
          <a:chOff x="7591" y="2295"/>
          <a:chExt cx="1004" cy="2766"/>
        </a:xfrm>
      </xdr:grpSpPr>
      <xdr:sp macro="" textlink="">
        <xdr:nvSpPr>
          <xdr:cNvPr id="94929" name="Straight Connector 12"/>
          <xdr:cNvSpPr>
            <a:spLocks noChangeShapeType="1"/>
          </xdr:cNvSpPr>
        </xdr:nvSpPr>
        <xdr:spPr bwMode="auto">
          <a:xfrm flipV="1">
            <a:off x="7591" y="5049"/>
            <a:ext cx="432" cy="12"/>
          </a:xfrm>
          <a:prstGeom prst="line">
            <a:avLst/>
          </a:prstGeom>
          <a:noFill/>
          <a:ln w="47520" cap="sq">
            <a:solidFill>
              <a:srgbClr val="BF974D"/>
            </a:solidFill>
            <a:miter lim="800000"/>
            <a:headEnd/>
            <a:tailEnd/>
          </a:ln>
          <a:effectLst>
            <a:outerShdw dist="108733" dir="399266" algn="ctr" rotWithShape="0">
              <a:srgbClr val="000000">
                <a:alpha val="50026"/>
              </a:srgbClr>
            </a:outerShdw>
          </a:effectLst>
          <a:extLst>
            <a:ext uri="{909E8E84-426E-40DD-AFC4-6F175D3DCCD1}">
              <a14:hiddenFill xmlns:a14="http://schemas.microsoft.com/office/drawing/2010/main">
                <a:noFill/>
              </a14:hiddenFill>
            </a:ext>
          </a:extLst>
        </xdr:spPr>
      </xdr:sp>
      <xdr:sp macro="" textlink="">
        <xdr:nvSpPr>
          <xdr:cNvPr id="94930" name="Straight Connector 14"/>
          <xdr:cNvSpPr>
            <a:spLocks noChangeShapeType="1"/>
          </xdr:cNvSpPr>
        </xdr:nvSpPr>
        <xdr:spPr bwMode="auto">
          <a:xfrm flipV="1">
            <a:off x="8023" y="2295"/>
            <a:ext cx="15" cy="2766"/>
          </a:xfrm>
          <a:prstGeom prst="line">
            <a:avLst/>
          </a:prstGeom>
          <a:noFill/>
          <a:ln w="47520" cap="sq">
            <a:solidFill>
              <a:srgbClr val="BF974D"/>
            </a:solidFill>
            <a:miter lim="800000"/>
            <a:headEnd/>
            <a:tailEnd/>
          </a:ln>
          <a:effectLst>
            <a:outerShdw dist="108733" dir="399266" algn="ctr" rotWithShape="0">
              <a:srgbClr val="000000">
                <a:alpha val="50026"/>
              </a:srgbClr>
            </a:outerShdw>
          </a:effectLst>
          <a:extLst>
            <a:ext uri="{909E8E84-426E-40DD-AFC4-6F175D3DCCD1}">
              <a14:hiddenFill xmlns:a14="http://schemas.microsoft.com/office/drawing/2010/main">
                <a:noFill/>
              </a14:hiddenFill>
            </a:ext>
          </a:extLst>
        </xdr:spPr>
      </xdr:sp>
      <xdr:cxnSp macro="">
        <xdr:nvCxnSpPr>
          <xdr:cNvPr id="94931" name="Straight Arrow Connector 16"/>
          <xdr:cNvCxnSpPr>
            <a:cxnSpLocks noChangeShapeType="1"/>
          </xdr:cNvCxnSpPr>
        </xdr:nvCxnSpPr>
        <xdr:spPr bwMode="auto">
          <a:xfrm>
            <a:off x="8023" y="2307"/>
            <a:ext cx="572" cy="24"/>
          </a:xfrm>
          <a:prstGeom prst="straightConnector1">
            <a:avLst/>
          </a:prstGeom>
          <a:noFill/>
          <a:ln w="47520" cap="sq">
            <a:solidFill>
              <a:srgbClr val="BF974D"/>
            </a:solidFill>
            <a:miter lim="800000"/>
            <a:headEnd/>
            <a:tailEnd type="triangle" w="med" len="med"/>
          </a:ln>
          <a:effectLst>
            <a:outerShdw dist="108733" dir="399266" algn="ctr" rotWithShape="0">
              <a:srgbClr val="000000">
                <a:alpha val="50026"/>
              </a:srgbClr>
            </a:outerShdw>
          </a:effectLst>
          <a:extLst>
            <a:ext uri="{909E8E84-426E-40DD-AFC4-6F175D3DCCD1}">
              <a14:hiddenFill xmlns:a14="http://schemas.microsoft.com/office/drawing/2010/main">
                <a:noFill/>
              </a14:hiddenFill>
            </a:ext>
          </a:extLst>
        </xdr:spPr>
      </xdr:cxnSp>
    </xdr:grpSp>
    <xdr:clientData/>
  </xdr:twoCellAnchor>
  <xdr:oneCellAnchor>
    <xdr:from>
      <xdr:col>2</xdr:col>
      <xdr:colOff>371271</xdr:colOff>
      <xdr:row>15</xdr:row>
      <xdr:rowOff>10943</xdr:rowOff>
    </xdr:from>
    <xdr:ext cx="1962151" cy="328295"/>
    <xdr:sp macro="" textlink="">
      <xdr:nvSpPr>
        <xdr:cNvPr id="36" name="Rectangle 35">
          <a:hlinkClick xmlns:r="http://schemas.openxmlformats.org/officeDocument/2006/relationships" r:id="rId10"/>
        </xdr:cNvPr>
        <xdr:cNvSpPr/>
      </xdr:nvSpPr>
      <xdr:spPr>
        <a:xfrm>
          <a:off x="1485696" y="2554118"/>
          <a:ext cx="1962151" cy="328295"/>
        </a:xfrm>
        <a:prstGeom prst="rect">
          <a:avLst/>
        </a:prstGeom>
        <a:solidFill>
          <a:srgbClr val="FFC00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Identitas</a:t>
          </a:r>
          <a:r>
            <a:rPr lang="en-US" sz="1600" b="0" cap="none" spc="0" baseline="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 Siswa</a:t>
          </a:r>
          <a:endPar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endParaRPr>
        </a:p>
      </xdr:txBody>
    </xdr:sp>
    <xdr:clientData/>
  </xdr:oneCellAnchor>
  <xdr:twoCellAnchor>
    <xdr:from>
      <xdr:col>2</xdr:col>
      <xdr:colOff>19050</xdr:colOff>
      <xdr:row>14</xdr:row>
      <xdr:rowOff>57150</xdr:rowOff>
    </xdr:from>
    <xdr:to>
      <xdr:col>2</xdr:col>
      <xdr:colOff>600075</xdr:colOff>
      <xdr:row>17</xdr:row>
      <xdr:rowOff>200025</xdr:rowOff>
    </xdr:to>
    <xdr:pic>
      <xdr:nvPicPr>
        <xdr:cNvPr id="94919"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71525" y="3086100"/>
          <a:ext cx="58102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11</xdr:col>
      <xdr:colOff>171451</xdr:colOff>
      <xdr:row>8</xdr:row>
      <xdr:rowOff>9524</xdr:rowOff>
    </xdr:from>
    <xdr:to>
      <xdr:col>11</xdr:col>
      <xdr:colOff>257175</xdr:colOff>
      <xdr:row>10</xdr:row>
      <xdr:rowOff>57149</xdr:rowOff>
    </xdr:to>
    <xdr:sp macro="" textlink="">
      <xdr:nvSpPr>
        <xdr:cNvPr id="40" name="Down Arrow 39"/>
        <xdr:cNvSpPr/>
      </xdr:nvSpPr>
      <xdr:spPr>
        <a:xfrm>
          <a:off x="6267451" y="1828799"/>
          <a:ext cx="85724" cy="504825"/>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11</xdr:col>
      <xdr:colOff>209551</xdr:colOff>
      <xdr:row>12</xdr:row>
      <xdr:rowOff>47624</xdr:rowOff>
    </xdr:from>
    <xdr:to>
      <xdr:col>11</xdr:col>
      <xdr:colOff>295275</xdr:colOff>
      <xdr:row>14</xdr:row>
      <xdr:rowOff>47624</xdr:rowOff>
    </xdr:to>
    <xdr:sp macro="" textlink="">
      <xdr:nvSpPr>
        <xdr:cNvPr id="41" name="Down Arrow 40"/>
        <xdr:cNvSpPr/>
      </xdr:nvSpPr>
      <xdr:spPr>
        <a:xfrm>
          <a:off x="6305551" y="2828924"/>
          <a:ext cx="85724" cy="504825"/>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twoCellAnchor>
    <xdr:from>
      <xdr:col>11</xdr:col>
      <xdr:colOff>238126</xdr:colOff>
      <xdr:row>16</xdr:row>
      <xdr:rowOff>88445</xdr:rowOff>
    </xdr:from>
    <xdr:to>
      <xdr:col>11</xdr:col>
      <xdr:colOff>323850</xdr:colOff>
      <xdr:row>19</xdr:row>
      <xdr:rowOff>119288</xdr:rowOff>
    </xdr:to>
    <xdr:sp macro="" textlink="">
      <xdr:nvSpPr>
        <xdr:cNvPr id="42" name="Down Arrow 41"/>
        <xdr:cNvSpPr/>
      </xdr:nvSpPr>
      <xdr:spPr>
        <a:xfrm>
          <a:off x="6361340" y="3648981"/>
          <a:ext cx="85724" cy="507093"/>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oneCellAnchor>
    <xdr:from>
      <xdr:col>4</xdr:col>
      <xdr:colOff>294821</xdr:colOff>
      <xdr:row>19</xdr:row>
      <xdr:rowOff>113393</xdr:rowOff>
    </xdr:from>
    <xdr:ext cx="3006727" cy="419551"/>
    <xdr:sp macro="" textlink="">
      <xdr:nvSpPr>
        <xdr:cNvPr id="43" name="Rectangle 42">
          <a:hlinkClick xmlns:r="http://schemas.openxmlformats.org/officeDocument/2006/relationships" r:id="rId11"/>
        </xdr:cNvPr>
        <xdr:cNvSpPr/>
      </xdr:nvSpPr>
      <xdr:spPr>
        <a:xfrm>
          <a:off x="2279196" y="4195536"/>
          <a:ext cx="3006727" cy="419551"/>
        </a:xfrm>
        <a:prstGeom prst="rect">
          <a:avLst/>
        </a:prstGeom>
        <a:solidFill>
          <a:srgbClr val="00B0F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o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Sikap</a:t>
          </a:r>
          <a:r>
            <a:rPr lang="en-US" sz="1600" b="0" cap="none" spc="0" baseline="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 Spritual dan Sikap Sosial</a:t>
          </a:r>
          <a:endPar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endParaRPr>
        </a:p>
      </xdr:txBody>
    </xdr:sp>
    <xdr:clientData/>
  </xdr:oneCellAnchor>
  <xdr:twoCellAnchor>
    <xdr:from>
      <xdr:col>4</xdr:col>
      <xdr:colOff>9525</xdr:colOff>
      <xdr:row>19</xdr:row>
      <xdr:rowOff>19050</xdr:rowOff>
    </xdr:from>
    <xdr:to>
      <xdr:col>4</xdr:col>
      <xdr:colOff>542925</xdr:colOff>
      <xdr:row>22</xdr:row>
      <xdr:rowOff>123825</xdr:rowOff>
    </xdr:to>
    <xdr:pic>
      <xdr:nvPicPr>
        <xdr:cNvPr id="94925"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81200" y="4067175"/>
          <a:ext cx="5334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8</xdr:col>
      <xdr:colOff>51708</xdr:colOff>
      <xdr:row>17</xdr:row>
      <xdr:rowOff>26306</xdr:rowOff>
    </xdr:from>
    <xdr:to>
      <xdr:col>8</xdr:col>
      <xdr:colOff>137432</xdr:colOff>
      <xdr:row>19</xdr:row>
      <xdr:rowOff>107949</xdr:rowOff>
    </xdr:to>
    <xdr:sp macro="" textlink="">
      <xdr:nvSpPr>
        <xdr:cNvPr id="45" name="Down Arrow 44"/>
        <xdr:cNvSpPr/>
      </xdr:nvSpPr>
      <xdr:spPr>
        <a:xfrm>
          <a:off x="4485369" y="3632199"/>
          <a:ext cx="85724" cy="557893"/>
        </a:xfrm>
        <a:prstGeom prst="downArrow">
          <a:avLst/>
        </a:prstGeom>
        <a:ln>
          <a:noFill/>
        </a:ln>
      </xdr:spPr>
      <xdr:style>
        <a:lnRef idx="2">
          <a:schemeClr val="dk1"/>
        </a:lnRef>
        <a:fillRef idx="1">
          <a:schemeClr val="lt1"/>
        </a:fillRef>
        <a:effectRef idx="0">
          <a:schemeClr val="dk1"/>
        </a:effectRef>
        <a:fontRef idx="minor">
          <a:schemeClr val="dk1"/>
        </a:fontRef>
      </xdr:style>
      <xdr:txBody>
        <a:bodyPr rtlCol="0" anchor="ctr"/>
        <a:lstStyle/>
        <a:p>
          <a:endParaRPr lang="en-US"/>
        </a:p>
      </xdr:txBody>
    </xdr:sp>
    <xdr:clientData/>
  </xdr:twoCellAnchor>
  <xdr:oneCellAnchor>
    <xdr:from>
      <xdr:col>19</xdr:col>
      <xdr:colOff>0</xdr:colOff>
      <xdr:row>21</xdr:row>
      <xdr:rowOff>0</xdr:rowOff>
    </xdr:from>
    <xdr:ext cx="1382777" cy="328295"/>
    <xdr:sp macro="" textlink="">
      <xdr:nvSpPr>
        <xdr:cNvPr id="44" name="Rectangle 43">
          <a:hlinkClick xmlns:r="http://schemas.openxmlformats.org/officeDocument/2006/relationships" r:id="rId12"/>
        </xdr:cNvPr>
        <xdr:cNvSpPr/>
      </xdr:nvSpPr>
      <xdr:spPr>
        <a:xfrm>
          <a:off x="10103304" y="4467679"/>
          <a:ext cx="1382777" cy="328295"/>
        </a:xfrm>
        <a:prstGeom prst="rect">
          <a:avLst/>
        </a:prstGeom>
        <a:solidFill>
          <a:srgbClr val="92D050"/>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spAutoFit/>
        </a:bodyPr>
        <a:lstStyle/>
        <a:p>
          <a:pPr algn="ctr"/>
          <a:r>
            <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Input</a:t>
          </a:r>
          <a:r>
            <a:rPr lang="en-US" sz="1600" b="0" cap="none" spc="0" baseline="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rPr>
            <a:t> Photo</a:t>
          </a:r>
          <a:endParaRPr lang="en-US" sz="1600" b="0" cap="none" spc="0">
            <a:ln w="12700">
              <a:noFill/>
              <a:prstDash val="solid"/>
            </a:ln>
            <a:solidFill>
              <a:sysClr val="windowText" lastClr="000000"/>
            </a:solidFill>
            <a:effectLst>
              <a:outerShdw blurRad="41275" dist="20320" dir="1800000" algn="tl" rotWithShape="0">
                <a:srgbClr val="000000">
                  <a:alpha val="40000"/>
                </a:srgbClr>
              </a:outerShdw>
            </a:effectLst>
            <a:latin typeface="Times New Roman" pitchFamily="18" charset="0"/>
            <a:cs typeface="Times New Roman" pitchFamily="18" charset="0"/>
          </a:endParaRPr>
        </a:p>
      </xdr:txBody>
    </xdr:sp>
    <xdr:clientData/>
  </xdr:oneCellAnchor>
  <xdr:twoCellAnchor>
    <xdr:from>
      <xdr:col>18</xdr:col>
      <xdr:colOff>333375</xdr:colOff>
      <xdr:row>20</xdr:row>
      <xdr:rowOff>95250</xdr:rowOff>
    </xdr:from>
    <xdr:to>
      <xdr:col>19</xdr:col>
      <xdr:colOff>247650</xdr:colOff>
      <xdr:row>23</xdr:row>
      <xdr:rowOff>95250</xdr:rowOff>
    </xdr:to>
    <xdr:pic>
      <xdr:nvPicPr>
        <xdr:cNvPr id="94928" name="Picture 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82175" y="4333875"/>
          <a:ext cx="5238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85725</xdr:colOff>
      <xdr:row>5</xdr:row>
      <xdr:rowOff>66675</xdr:rowOff>
    </xdr:from>
    <xdr:ext cx="1097280" cy="405432"/>
    <xdr:sp macro="" textlink="">
      <xdr:nvSpPr>
        <xdr:cNvPr id="3" name="Rectangle 2">
          <a:hlinkClick xmlns:r="http://schemas.openxmlformats.org/officeDocument/2006/relationships" r:id="rId1"/>
        </xdr:cNvPr>
        <xdr:cNvSpPr/>
      </xdr:nvSpPr>
      <xdr:spPr>
        <a:xfrm>
          <a:off x="6657975" y="1057275"/>
          <a:ext cx="1097280" cy="405432"/>
        </a:xfrm>
        <a:prstGeom prst="rect">
          <a:avLst/>
        </a:prstGeom>
        <a:solidFill>
          <a:srgbClr val="FFFF00"/>
        </a:solidFill>
        <a:ln w="15875" cmpd="sng">
          <a:solidFill>
            <a:schemeClr val="tx1"/>
          </a:solidFill>
        </a:ln>
      </xdr:spPr>
      <xdr:txBody>
        <a:bodyPr wrap="square" lIns="91440" tIns="45720" rIns="91440" bIns="45720">
          <a:spAutoFit/>
        </a:bodyPr>
        <a:lstStyle/>
        <a:p>
          <a:pPr algn="ctr"/>
          <a:r>
            <a:rPr lang="en-US" sz="2000" b="1" cap="none" spc="0">
              <a:ln w="18000">
                <a:solidFill>
                  <a:schemeClr val="accent2">
                    <a:satMod val="140000"/>
                  </a:schemeClr>
                </a:solidFill>
                <a:prstDash val="solid"/>
                <a:miter lim="800000"/>
              </a:ln>
              <a:solidFill>
                <a:srgbClr val="C00000"/>
              </a:solidFill>
              <a:effectLst>
                <a:outerShdw blurRad="25500" dist="23000" dir="7020000" algn="tl">
                  <a:srgbClr val="000000">
                    <a:alpha val="50000"/>
                  </a:srgbClr>
                </a:outerShdw>
              </a:effectLst>
            </a:rPr>
            <a:t>Menu</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57150</xdr:rowOff>
    </xdr:from>
    <xdr:to>
      <xdr:col>1</xdr:col>
      <xdr:colOff>285750</xdr:colOff>
      <xdr:row>3</xdr:row>
      <xdr:rowOff>9525</xdr:rowOff>
    </xdr:to>
    <xdr:pic>
      <xdr:nvPicPr>
        <xdr:cNvPr id="73985" name="Picture 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7625" y="57150"/>
          <a:ext cx="6572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20</xdr:col>
      <xdr:colOff>152400</xdr:colOff>
      <xdr:row>0</xdr:row>
      <xdr:rowOff>133350</xdr:rowOff>
    </xdr:from>
    <xdr:to>
      <xdr:col>21</xdr:col>
      <xdr:colOff>38100</xdr:colOff>
      <xdr:row>3</xdr:row>
      <xdr:rowOff>85725</xdr:rowOff>
    </xdr:to>
    <xdr:pic>
      <xdr:nvPicPr>
        <xdr:cNvPr id="73986" name="Picture 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40600" y="133350"/>
          <a:ext cx="6572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7</xdr:col>
      <xdr:colOff>85725</xdr:colOff>
      <xdr:row>2</xdr:row>
      <xdr:rowOff>161925</xdr:rowOff>
    </xdr:from>
    <xdr:to>
      <xdr:col>7</xdr:col>
      <xdr:colOff>1057275</xdr:colOff>
      <xdr:row>4</xdr:row>
      <xdr:rowOff>95250</xdr:rowOff>
    </xdr:to>
    <xdr:sp macro="" textlink="">
      <xdr:nvSpPr>
        <xdr:cNvPr id="2" name="Rounded Rectangle 1">
          <a:hlinkClick xmlns:r="http://schemas.openxmlformats.org/officeDocument/2006/relationships" r:id="rId1"/>
        </xdr:cNvPr>
        <xdr:cNvSpPr/>
      </xdr:nvSpPr>
      <xdr:spPr>
        <a:xfrm>
          <a:off x="5962650" y="581025"/>
          <a:ext cx="971550" cy="352425"/>
        </a:xfrm>
        <a:prstGeom prst="roundRect">
          <a:avLst/>
        </a:prstGeom>
        <a:solidFill>
          <a:srgbClr val="92D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b="1"/>
            <a:t>Back</a:t>
          </a:r>
          <a:endParaRPr lang="en-US" sz="1400" b="1"/>
        </a:p>
      </xdr:txBody>
    </xdr:sp>
    <xdr:clientData/>
  </xdr:twoCellAnchor>
  <xdr:twoCellAnchor>
    <xdr:from>
      <xdr:col>14</xdr:col>
      <xdr:colOff>895350</xdr:colOff>
      <xdr:row>2</xdr:row>
      <xdr:rowOff>161925</xdr:rowOff>
    </xdr:from>
    <xdr:to>
      <xdr:col>15</xdr:col>
      <xdr:colOff>752475</xdr:colOff>
      <xdr:row>4</xdr:row>
      <xdr:rowOff>95250</xdr:rowOff>
    </xdr:to>
    <xdr:sp macro="" textlink="">
      <xdr:nvSpPr>
        <xdr:cNvPr id="5" name="Rounded Rectangle 4">
          <a:hlinkClick xmlns:r="http://schemas.openxmlformats.org/officeDocument/2006/relationships" r:id="rId1"/>
        </xdr:cNvPr>
        <xdr:cNvSpPr/>
      </xdr:nvSpPr>
      <xdr:spPr>
        <a:xfrm>
          <a:off x="14344650" y="581025"/>
          <a:ext cx="971550" cy="352425"/>
        </a:xfrm>
        <a:prstGeom prst="roundRect">
          <a:avLst/>
        </a:prstGeom>
        <a:solidFill>
          <a:srgbClr val="92D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800" b="1"/>
            <a:t>Back</a:t>
          </a:r>
          <a:endParaRPr lang="en-US" sz="14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38100</xdr:rowOff>
    </xdr:from>
    <xdr:to>
      <xdr:col>1</xdr:col>
      <xdr:colOff>171450</xdr:colOff>
      <xdr:row>2</xdr:row>
      <xdr:rowOff>47625</xdr:rowOff>
    </xdr:to>
    <xdr:pic>
      <xdr:nvPicPr>
        <xdr:cNvPr id="32462" name="Picture 11">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150" y="38100"/>
          <a:ext cx="5334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152400</xdr:colOff>
      <xdr:row>2</xdr:row>
      <xdr:rowOff>57150</xdr:rowOff>
    </xdr:from>
    <xdr:to>
      <xdr:col>14</xdr:col>
      <xdr:colOff>9525</xdr:colOff>
      <xdr:row>6</xdr:row>
      <xdr:rowOff>171450</xdr:rowOff>
    </xdr:to>
    <xdr:sp macro="" textlink="">
      <xdr:nvSpPr>
        <xdr:cNvPr id="63063" name="AutoShape 2"/>
        <xdr:cNvSpPr>
          <a:spLocks noChangeArrowheads="1"/>
        </xdr:cNvSpPr>
      </xdr:nvSpPr>
      <xdr:spPr bwMode="auto">
        <a:xfrm>
          <a:off x="7305675" y="552450"/>
          <a:ext cx="1685925" cy="1057275"/>
        </a:xfrm>
        <a:prstGeom prst="sun">
          <a:avLst>
            <a:gd name="adj" fmla="val 25000"/>
          </a:avLst>
        </a:prstGeom>
        <a:gradFill rotWithShape="1">
          <a:gsLst>
            <a:gs pos="0">
              <a:srgbClr val="800080"/>
            </a:gs>
            <a:gs pos="100000">
              <a:srgbClr val="00FF00"/>
            </a:gs>
          </a:gsLst>
          <a:lin ang="2700000" scaled="1"/>
        </a:gradFill>
        <a:ln w="9525">
          <a:solidFill>
            <a:srgbClr val="FF0000"/>
          </a:solidFill>
          <a:miter lim="800000"/>
          <a:headEnd/>
          <a:tailEnd/>
        </a:ln>
      </xdr:spPr>
    </xdr:sp>
    <xdr:clientData/>
  </xdr:twoCellAnchor>
  <xdr:twoCellAnchor>
    <xdr:from>
      <xdr:col>12</xdr:col>
      <xdr:colOff>114300</xdr:colOff>
      <xdr:row>3</xdr:row>
      <xdr:rowOff>200025</xdr:rowOff>
    </xdr:from>
    <xdr:to>
      <xdr:col>13</xdr:col>
      <xdr:colOff>0</xdr:colOff>
      <xdr:row>4</xdr:row>
      <xdr:rowOff>171450</xdr:rowOff>
    </xdr:to>
    <xdr:sp macro="" textlink="">
      <xdr:nvSpPr>
        <xdr:cNvPr id="3" name="WordArt 1">
          <a:hlinkClick xmlns:r="http://schemas.openxmlformats.org/officeDocument/2006/relationships" r:id="rId1" tooltip="dAFTA"/>
        </xdr:cNvPr>
        <xdr:cNvSpPr>
          <a:spLocks noChangeArrowheads="1" noChangeShapeType="1" noTextEdit="1"/>
        </xdr:cNvSpPr>
      </xdr:nvSpPr>
      <xdr:spPr bwMode="auto">
        <a:xfrm>
          <a:off x="6972300" y="390525"/>
          <a:ext cx="495300" cy="200025"/>
        </a:xfrm>
        <a:prstGeom prst="rect">
          <a:avLst/>
        </a:prstGeom>
      </xdr:spPr>
      <xdr:txBody>
        <a:bodyPr wrap="none" fromWordArt="1">
          <a:prstTxWarp prst="textPlain">
            <a:avLst>
              <a:gd name="adj" fmla="val 50000"/>
            </a:avLst>
          </a:prstTxWarp>
        </a:bodyPr>
        <a:lstStyle/>
        <a:p>
          <a:pPr algn="ctr" rtl="0"/>
          <a:r>
            <a:rPr lang="en-US" sz="1000" kern="10" spc="0">
              <a:ln w="9525">
                <a:noFill/>
                <a:round/>
                <a:headEnd/>
                <a:tailEnd/>
              </a:ln>
              <a:solidFill>
                <a:srgbClr val="800000"/>
              </a:solidFill>
              <a:effectLst/>
              <a:latin typeface="Arial Black"/>
            </a:rPr>
            <a:t>Back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104774</xdr:colOff>
      <xdr:row>2</xdr:row>
      <xdr:rowOff>66675</xdr:rowOff>
    </xdr:from>
    <xdr:to>
      <xdr:col>9</xdr:col>
      <xdr:colOff>371475</xdr:colOff>
      <xdr:row>4</xdr:row>
      <xdr:rowOff>161924</xdr:rowOff>
    </xdr:to>
    <xdr:sp macro="" textlink="">
      <xdr:nvSpPr>
        <xdr:cNvPr id="4" name="Rectangle 3">
          <a:hlinkClick xmlns:r="http://schemas.openxmlformats.org/officeDocument/2006/relationships" r:id="rId1"/>
        </xdr:cNvPr>
        <xdr:cNvSpPr/>
      </xdr:nvSpPr>
      <xdr:spPr>
        <a:xfrm>
          <a:off x="6286499" y="466725"/>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38100</xdr:colOff>
      <xdr:row>2</xdr:row>
      <xdr:rowOff>28575</xdr:rowOff>
    </xdr:from>
    <xdr:to>
      <xdr:col>9</xdr:col>
      <xdr:colOff>971551</xdr:colOff>
      <xdr:row>4</xdr:row>
      <xdr:rowOff>123824</xdr:rowOff>
    </xdr:to>
    <xdr:sp macro="" textlink="">
      <xdr:nvSpPr>
        <xdr:cNvPr id="6" name="Rectangle 5">
          <a:hlinkClick xmlns:r="http://schemas.openxmlformats.org/officeDocument/2006/relationships" r:id="rId1"/>
        </xdr:cNvPr>
        <xdr:cNvSpPr/>
      </xdr:nvSpPr>
      <xdr:spPr>
        <a:xfrm>
          <a:off x="6886575" y="428625"/>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0</xdr:rowOff>
    </xdr:from>
    <xdr:to>
      <xdr:col>9</xdr:col>
      <xdr:colOff>933451</xdr:colOff>
      <xdr:row>5</xdr:row>
      <xdr:rowOff>85724</xdr:rowOff>
    </xdr:to>
    <xdr:sp macro="" textlink="">
      <xdr:nvSpPr>
        <xdr:cNvPr id="4" name="Rectangle 3">
          <a:hlinkClick xmlns:r="http://schemas.openxmlformats.org/officeDocument/2006/relationships" r:id="rId1"/>
        </xdr:cNvPr>
        <xdr:cNvSpPr/>
      </xdr:nvSpPr>
      <xdr:spPr>
        <a:xfrm>
          <a:off x="6848475" y="600075"/>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85725</xdr:colOff>
      <xdr:row>3</xdr:row>
      <xdr:rowOff>85725</xdr:rowOff>
    </xdr:from>
    <xdr:to>
      <xdr:col>9</xdr:col>
      <xdr:colOff>1019176</xdr:colOff>
      <xdr:row>5</xdr:row>
      <xdr:rowOff>171449</xdr:rowOff>
    </xdr:to>
    <xdr:sp macro="" textlink="">
      <xdr:nvSpPr>
        <xdr:cNvPr id="6" name="Rectangle 5">
          <a:hlinkClick xmlns:r="http://schemas.openxmlformats.org/officeDocument/2006/relationships" r:id="rId1"/>
        </xdr:cNvPr>
        <xdr:cNvSpPr/>
      </xdr:nvSpPr>
      <xdr:spPr>
        <a:xfrm>
          <a:off x="6934200" y="6858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6" name="Rectangle 5">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0</xdr:colOff>
      <xdr:row>3</xdr:row>
      <xdr:rowOff>0</xdr:rowOff>
    </xdr:from>
    <xdr:to>
      <xdr:col>9</xdr:col>
      <xdr:colOff>933451</xdr:colOff>
      <xdr:row>5</xdr:row>
      <xdr:rowOff>85724</xdr:rowOff>
    </xdr:to>
    <xdr:sp macro="" textlink="">
      <xdr:nvSpPr>
        <xdr:cNvPr id="6" name="Rectangle 5">
          <a:hlinkClick xmlns:r="http://schemas.openxmlformats.org/officeDocument/2006/relationships" r:id="rId1"/>
        </xdr:cNvPr>
        <xdr:cNvSpPr/>
      </xdr:nvSpPr>
      <xdr:spPr>
        <a:xfrm>
          <a:off x="6848475" y="600075"/>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6" name="Rectangle 5">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6" name="Rectangle 5">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6" name="Rectangle 5">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6" name="Rectangle 5">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6" name="Rectangle 5">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5</xdr:row>
      <xdr:rowOff>0</xdr:rowOff>
    </xdr:from>
    <xdr:to>
      <xdr:col>9</xdr:col>
      <xdr:colOff>933451</xdr:colOff>
      <xdr:row>7</xdr:row>
      <xdr:rowOff>95249</xdr:rowOff>
    </xdr:to>
    <xdr:sp macro="" textlink="">
      <xdr:nvSpPr>
        <xdr:cNvPr id="6" name="Rectangle 5">
          <a:hlinkClick xmlns:r="http://schemas.openxmlformats.org/officeDocument/2006/relationships" r:id="rId1"/>
        </xdr:cNvPr>
        <xdr:cNvSpPr/>
      </xdr:nvSpPr>
      <xdr:spPr>
        <a:xfrm>
          <a:off x="6734175" y="100965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6" name="Rectangle 5">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6" name="Rectangle 5">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933451</xdr:colOff>
      <xdr:row>6</xdr:row>
      <xdr:rowOff>85724</xdr:rowOff>
    </xdr:to>
    <xdr:sp macro="" textlink="">
      <xdr:nvSpPr>
        <xdr:cNvPr id="2" name="Rectangle 1">
          <a:hlinkClick xmlns:r="http://schemas.openxmlformats.org/officeDocument/2006/relationships" r:id="rId1"/>
        </xdr:cNvPr>
        <xdr:cNvSpPr/>
      </xdr:nvSpPr>
      <xdr:spPr>
        <a:xfrm>
          <a:off x="6734175" y="800100"/>
          <a:ext cx="933451" cy="495299"/>
        </a:xfrm>
        <a:prstGeom prst="rect">
          <a:avLst/>
        </a:prstGeom>
        <a:solidFill>
          <a:srgbClr val="FFC000"/>
        </a:solidFill>
        <a:ln>
          <a:solidFill>
            <a:srgbClr val="0070C0"/>
          </a:solidFill>
        </a:ln>
        <a:effectLst>
          <a:glow rad="139700">
            <a:srgbClr val="FF0000">
              <a:alpha val="40000"/>
            </a:srgbClr>
          </a:glo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solidFill>
                <a:srgbClr val="FF0000"/>
              </a:solidFill>
              <a:latin typeface="+mj-lt"/>
            </a:rPr>
            <a:t>MENU</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19050</xdr:colOff>
      <xdr:row>6</xdr:row>
      <xdr:rowOff>95250</xdr:rowOff>
    </xdr:from>
    <xdr:to>
      <xdr:col>10</xdr:col>
      <xdr:colOff>552450</xdr:colOff>
      <xdr:row>8</xdr:row>
      <xdr:rowOff>152400</xdr:rowOff>
    </xdr:to>
    <xdr:sp macro="[0]!Lihat" textlink="">
      <xdr:nvSpPr>
        <xdr:cNvPr id="5" name="Rounded Rectangle 4"/>
        <xdr:cNvSpPr/>
      </xdr:nvSpPr>
      <xdr:spPr>
        <a:xfrm>
          <a:off x="7010400" y="1866900"/>
          <a:ext cx="1143000" cy="438150"/>
        </a:xfrm>
        <a:prstGeom prst="roundRect">
          <a:avLst/>
        </a:prstGeom>
        <a:solidFill>
          <a:srgbClr val="00B050"/>
        </a:solidFill>
      </xdr:spPr>
      <xdr:style>
        <a:lnRef idx="0">
          <a:schemeClr val="accent2"/>
        </a:lnRef>
        <a:fillRef idx="1003">
          <a:schemeClr val="lt2"/>
        </a:fillRef>
        <a:effectRef idx="3">
          <a:schemeClr val="accent2"/>
        </a:effectRef>
        <a:fontRef idx="minor">
          <a:schemeClr val="lt1"/>
        </a:fontRef>
      </xdr:style>
      <xdr:txBody>
        <a:bodyPr vertOverflow="clip" horzOverflow="clip" rtlCol="0" anchor="ctr"/>
        <a:lstStyle/>
        <a:p>
          <a:pPr algn="ctr"/>
          <a:r>
            <a:rPr lang="en-US" sz="1100" b="1"/>
            <a:t>PREVIEW</a:t>
          </a:r>
          <a:r>
            <a:rPr lang="en-US" sz="1100" b="1" baseline="0"/>
            <a:t> DULU</a:t>
          </a:r>
          <a:endParaRPr lang="en-US" sz="1100" b="1"/>
        </a:p>
      </xdr:txBody>
    </xdr:sp>
    <xdr:clientData/>
  </xdr:twoCellAnchor>
  <xdr:twoCellAnchor>
    <xdr:from>
      <xdr:col>9</xdr:col>
      <xdr:colOff>19050</xdr:colOff>
      <xdr:row>9</xdr:row>
      <xdr:rowOff>19050</xdr:rowOff>
    </xdr:from>
    <xdr:to>
      <xdr:col>10</xdr:col>
      <xdr:colOff>552450</xdr:colOff>
      <xdr:row>11</xdr:row>
      <xdr:rowOff>19050</xdr:rowOff>
    </xdr:to>
    <xdr:sp macro="[0]!Cetak" textlink="">
      <xdr:nvSpPr>
        <xdr:cNvPr id="6" name="Rounded Rectangle 5"/>
        <xdr:cNvSpPr/>
      </xdr:nvSpPr>
      <xdr:spPr>
        <a:xfrm>
          <a:off x="7010400" y="2362200"/>
          <a:ext cx="1143000" cy="381000"/>
        </a:xfrm>
        <a:prstGeom prst="roundRect">
          <a:avLst/>
        </a:prstGeom>
        <a:solidFill>
          <a:srgbClr val="FF0000"/>
        </a:solidFill>
        <a:ln>
          <a:solidFill>
            <a:srgbClr val="C000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PRINT</a:t>
          </a:r>
        </a:p>
      </xdr:txBody>
    </xdr:sp>
    <xdr:clientData/>
  </xdr:twoCellAnchor>
  <mc:AlternateContent xmlns:mc="http://schemas.openxmlformats.org/markup-compatibility/2006">
    <mc:Choice xmlns:a14="http://schemas.microsoft.com/office/drawing/2010/main" Requires="a14">
      <xdr:twoCellAnchor>
        <xdr:from>
          <xdr:col>9</xdr:col>
          <xdr:colOff>0</xdr:colOff>
          <xdr:row>4</xdr:row>
          <xdr:rowOff>9525</xdr:rowOff>
        </xdr:from>
        <xdr:to>
          <xdr:col>9</xdr:col>
          <xdr:colOff>600075</xdr:colOff>
          <xdr:row>6</xdr:row>
          <xdr:rowOff>9525</xdr:rowOff>
        </xdr:to>
        <xdr:sp macro="" textlink="">
          <xdr:nvSpPr>
            <xdr:cNvPr id="23553" name="Spinner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95250</xdr:rowOff>
        </xdr:from>
        <xdr:to>
          <xdr:col>7</xdr:col>
          <xdr:colOff>95250</xdr:colOff>
          <xdr:row>5</xdr:row>
          <xdr:rowOff>95250</xdr:rowOff>
        </xdr:to>
        <xdr:sp macro="" textlink="">
          <xdr:nvSpPr>
            <xdr:cNvPr id="23557" name="Object 5" hidden="1">
              <a:extLst>
                <a:ext uri="{63B3BB69-23CF-44E3-9099-C40C66FF867C}">
                  <a14:compatExt spid="_x0000_s2355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10</xdr:col>
      <xdr:colOff>0</xdr:colOff>
      <xdr:row>7</xdr:row>
      <xdr:rowOff>0</xdr:rowOff>
    </xdr:from>
    <xdr:to>
      <xdr:col>11</xdr:col>
      <xdr:colOff>533400</xdr:colOff>
      <xdr:row>9</xdr:row>
      <xdr:rowOff>38100</xdr:rowOff>
    </xdr:to>
    <xdr:sp macro="[0]!Cetak" textlink="">
      <xdr:nvSpPr>
        <xdr:cNvPr id="3" name="Rounded Rectangle 2"/>
        <xdr:cNvSpPr/>
      </xdr:nvSpPr>
      <xdr:spPr>
        <a:xfrm>
          <a:off x="5924550" y="1400175"/>
          <a:ext cx="1143000" cy="43815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PRINT</a:t>
          </a:r>
        </a:p>
      </xdr:txBody>
    </xdr:sp>
    <xdr:clientData/>
  </xdr:twoCellAnchor>
  <xdr:twoCellAnchor>
    <xdr:from>
      <xdr:col>10</xdr:col>
      <xdr:colOff>0</xdr:colOff>
      <xdr:row>10</xdr:row>
      <xdr:rowOff>0</xdr:rowOff>
    </xdr:from>
    <xdr:to>
      <xdr:col>11</xdr:col>
      <xdr:colOff>533400</xdr:colOff>
      <xdr:row>12</xdr:row>
      <xdr:rowOff>38100</xdr:rowOff>
    </xdr:to>
    <xdr:sp macro="[0]!Lihat" textlink="">
      <xdr:nvSpPr>
        <xdr:cNvPr id="6" name="Rounded Rectangle 5"/>
        <xdr:cNvSpPr/>
      </xdr:nvSpPr>
      <xdr:spPr>
        <a:xfrm>
          <a:off x="5924550" y="2000250"/>
          <a:ext cx="1143000" cy="438150"/>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Lihat Dulu</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114300</xdr:colOff>
      <xdr:row>1</xdr:row>
      <xdr:rowOff>161925</xdr:rowOff>
    </xdr:from>
    <xdr:to>
      <xdr:col>12</xdr:col>
      <xdr:colOff>647700</xdr:colOff>
      <xdr:row>3</xdr:row>
      <xdr:rowOff>152400</xdr:rowOff>
    </xdr:to>
    <xdr:pic>
      <xdr:nvPicPr>
        <xdr:cNvPr id="31613"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72225" y="161925"/>
          <a:ext cx="53340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12</xdr:col>
      <xdr:colOff>9525</xdr:colOff>
      <xdr:row>6</xdr:row>
      <xdr:rowOff>104775</xdr:rowOff>
    </xdr:from>
    <xdr:to>
      <xdr:col>12</xdr:col>
      <xdr:colOff>676274</xdr:colOff>
      <xdr:row>7</xdr:row>
      <xdr:rowOff>123825</xdr:rowOff>
    </xdr:to>
    <xdr:sp macro="[0]!Lihat" textlink="">
      <xdr:nvSpPr>
        <xdr:cNvPr id="5" name="Rounded Rectangle 4"/>
        <xdr:cNvSpPr/>
      </xdr:nvSpPr>
      <xdr:spPr>
        <a:xfrm>
          <a:off x="6267450" y="1485900"/>
          <a:ext cx="666749" cy="295275"/>
        </a:xfrm>
        <a:prstGeom prst="roundRect">
          <a:avLst/>
        </a:prstGeom>
        <a:solidFill>
          <a:srgbClr val="00B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00" b="1"/>
            <a:t>PREVIEW</a:t>
          </a:r>
          <a:r>
            <a:rPr lang="en-US" sz="900" b="1" baseline="0"/>
            <a:t> </a:t>
          </a:r>
          <a:endParaRPr lang="en-US" sz="1100" b="1"/>
        </a:p>
      </xdr:txBody>
    </xdr:sp>
    <xdr:clientData/>
  </xdr:twoCellAnchor>
  <xdr:twoCellAnchor>
    <xdr:from>
      <xdr:col>12</xdr:col>
      <xdr:colOff>19051</xdr:colOff>
      <xdr:row>7</xdr:row>
      <xdr:rowOff>161925</xdr:rowOff>
    </xdr:from>
    <xdr:to>
      <xdr:col>13</xdr:col>
      <xdr:colOff>0</xdr:colOff>
      <xdr:row>8</xdr:row>
      <xdr:rowOff>180975</xdr:rowOff>
    </xdr:to>
    <xdr:sp macro="[0]!Cetak" textlink="">
      <xdr:nvSpPr>
        <xdr:cNvPr id="7" name="Rounded Rectangle 6"/>
        <xdr:cNvSpPr/>
      </xdr:nvSpPr>
      <xdr:spPr>
        <a:xfrm>
          <a:off x="6276976" y="1819275"/>
          <a:ext cx="666749" cy="295275"/>
        </a:xfrm>
        <a:prstGeom prst="roundRect">
          <a:avLst/>
        </a:prstGeom>
        <a:solidFill>
          <a:srgbClr val="FF0000"/>
        </a:solidFill>
        <a:ln>
          <a:solidFill>
            <a:srgbClr val="C000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00" b="1"/>
            <a:t>PRINT</a:t>
          </a:r>
          <a:r>
            <a:rPr lang="en-US" sz="900" b="1" baseline="0"/>
            <a:t> </a:t>
          </a:r>
          <a:endParaRPr lang="en-US" sz="1100" b="1"/>
        </a:p>
      </xdr:txBody>
    </xdr:sp>
    <xdr:clientData/>
  </xdr:twoCellAnchor>
  <xdr:twoCellAnchor>
    <xdr:from>
      <xdr:col>12</xdr:col>
      <xdr:colOff>19051</xdr:colOff>
      <xdr:row>8</xdr:row>
      <xdr:rowOff>209550</xdr:rowOff>
    </xdr:from>
    <xdr:to>
      <xdr:col>13</xdr:col>
      <xdr:colOff>0</xdr:colOff>
      <xdr:row>9</xdr:row>
      <xdr:rowOff>228600</xdr:rowOff>
    </xdr:to>
    <xdr:sp macro="" textlink="">
      <xdr:nvSpPr>
        <xdr:cNvPr id="8" name="Rounded Rectangle 7">
          <a:hlinkClick xmlns:r="http://schemas.openxmlformats.org/officeDocument/2006/relationships" r:id="rId3"/>
        </xdr:cNvPr>
        <xdr:cNvSpPr/>
      </xdr:nvSpPr>
      <xdr:spPr>
        <a:xfrm>
          <a:off x="6276976" y="2143125"/>
          <a:ext cx="666749" cy="29527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00" b="1" baseline="0"/>
            <a:t>BACK </a:t>
          </a:r>
          <a:endParaRPr lang="en-US" sz="1100" b="1"/>
        </a:p>
      </xdr:txBody>
    </xdr:sp>
    <xdr:clientData/>
  </xdr:twoCellAnchor>
  <mc:AlternateContent xmlns:mc="http://schemas.openxmlformats.org/markup-compatibility/2006">
    <mc:Choice xmlns:a14="http://schemas.microsoft.com/office/drawing/2010/main" Requires="a14">
      <xdr:twoCellAnchor>
        <xdr:from>
          <xdr:col>11</xdr:col>
          <xdr:colOff>676275</xdr:colOff>
          <xdr:row>4</xdr:row>
          <xdr:rowOff>266700</xdr:rowOff>
        </xdr:from>
        <xdr:to>
          <xdr:col>12</xdr:col>
          <xdr:colOff>676275</xdr:colOff>
          <xdr:row>6</xdr:row>
          <xdr:rowOff>76200</xdr:rowOff>
        </xdr:to>
        <xdr:sp macro="" textlink="">
          <xdr:nvSpPr>
            <xdr:cNvPr id="31655" name="Spinner 935" hidden="1">
              <a:extLst>
                <a:ext uri="{63B3BB69-23CF-44E3-9099-C40C66FF867C}">
                  <a14:compatExt spid="_x0000_s316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628650</xdr:colOff>
          <xdr:row>30</xdr:row>
          <xdr:rowOff>104775</xdr:rowOff>
        </xdr:from>
        <xdr:to>
          <xdr:col>7</xdr:col>
          <xdr:colOff>314325</xdr:colOff>
          <xdr:row>36</xdr:row>
          <xdr:rowOff>47625</xdr:rowOff>
        </xdr:to>
        <xdr:pic>
          <xdr:nvPicPr>
            <xdr:cNvPr id="45272" name="Picture 2"/>
            <xdr:cNvPicPr>
              <a:picLocks noChangeAspect="1" noChangeArrowheads="1"/>
              <a:extLst>
                <a:ext uri="{84589F7E-364E-4C9E-8A38-B11213B215E9}">
                  <a14:cameraTool cellRange="piyek" spid="_x0000_s45295"/>
                </a:ext>
              </a:extLst>
            </xdr:cNvPicPr>
          </xdr:nvPicPr>
          <xdr:blipFill>
            <a:blip xmlns:r="http://schemas.openxmlformats.org/officeDocument/2006/relationships" r:embed="rId4"/>
            <a:srcRect/>
            <a:stretch>
              <a:fillRect/>
            </a:stretch>
          </xdr:blipFill>
          <xdr:spPr bwMode="auto">
            <a:xfrm>
              <a:off x="1676400" y="8115300"/>
              <a:ext cx="1076325" cy="1428750"/>
            </a:xfrm>
            <a:prstGeom prst="rect">
              <a:avLst/>
            </a:prstGeom>
            <a:noFill/>
            <a:ln w="38100" cap="sq">
              <a:solidFill>
                <a:srgbClr val="000000"/>
              </a:solidFill>
              <a:miter lim="800000"/>
              <a:headEnd/>
              <a:tailEnd/>
            </a:ln>
            <a:effectLst>
              <a:outerShdw dist="38100" dir="2700000" algn="tl" rotWithShape="0">
                <a:srgbClr val="000000">
                  <a:alpha val="42998"/>
                </a:srgbClr>
              </a:outerShdw>
            </a:effectLst>
            <a:extLst>
              <a:ext uri="{909E8E84-426E-40DD-AFC4-6F175D3DCCD1}">
                <a14:hiddenFill>
                  <a:solidFill>
                    <a:srgbClr val="FFFFFF"/>
                  </a:solidFill>
                </a14:hiddenFill>
              </a:ext>
            </a:extLst>
          </xdr:spPr>
        </xdr:pic>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15</xdr:col>
      <xdr:colOff>552450</xdr:colOff>
      <xdr:row>21</xdr:row>
      <xdr:rowOff>9525</xdr:rowOff>
    </xdr:from>
    <xdr:to>
      <xdr:col>17</xdr:col>
      <xdr:colOff>76200</xdr:colOff>
      <xdr:row>23</xdr:row>
      <xdr:rowOff>133350</xdr:rowOff>
    </xdr:to>
    <xdr:sp macro="[0]!Cetak" textlink="">
      <xdr:nvSpPr>
        <xdr:cNvPr id="2" name="Rounded Rectangle 1"/>
        <xdr:cNvSpPr/>
      </xdr:nvSpPr>
      <xdr:spPr>
        <a:xfrm>
          <a:off x="8239125" y="3810000"/>
          <a:ext cx="790575" cy="428625"/>
        </a:xfrm>
        <a:prstGeom prst="roundRect">
          <a:avLst/>
        </a:prstGeom>
        <a:solidFill>
          <a:srgbClr val="FF0000"/>
        </a:solidFill>
        <a:ln>
          <a:solidFill>
            <a:srgbClr val="C000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400" b="1">
              <a:solidFill>
                <a:schemeClr val="bg1"/>
              </a:solidFill>
            </a:rPr>
            <a:t>PRINT</a:t>
          </a:r>
        </a:p>
      </xdr:txBody>
    </xdr:sp>
    <xdr:clientData/>
  </xdr:twoCellAnchor>
  <xdr:twoCellAnchor>
    <xdr:from>
      <xdr:col>15</xdr:col>
      <xdr:colOff>533400</xdr:colOff>
      <xdr:row>17</xdr:row>
      <xdr:rowOff>38100</xdr:rowOff>
    </xdr:from>
    <xdr:to>
      <xdr:col>17</xdr:col>
      <xdr:colOff>76200</xdr:colOff>
      <xdr:row>20</xdr:row>
      <xdr:rowOff>19050</xdr:rowOff>
    </xdr:to>
    <xdr:sp macro="[0]!Lihat" textlink="">
      <xdr:nvSpPr>
        <xdr:cNvPr id="3" name="Rectangle 2"/>
        <xdr:cNvSpPr/>
      </xdr:nvSpPr>
      <xdr:spPr>
        <a:xfrm>
          <a:off x="8220075" y="3228975"/>
          <a:ext cx="809625" cy="438150"/>
        </a:xfrm>
        <a:prstGeom prst="rect">
          <a:avLst/>
        </a:prstGeom>
        <a:solidFill>
          <a:srgbClr val="00B050"/>
        </a:solidFill>
        <a:ln>
          <a:solidFill>
            <a:srgbClr val="FFFF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400" b="1">
              <a:solidFill>
                <a:schemeClr val="bg1"/>
              </a:solidFill>
            </a:rPr>
            <a:t>Preview</a:t>
          </a:r>
          <a:endParaRPr lang="en-US" sz="1100" b="1">
            <a:solidFill>
              <a:schemeClr val="bg1"/>
            </a:solidFill>
          </a:endParaRPr>
        </a:p>
      </xdr:txBody>
    </xdr:sp>
    <xdr:clientData/>
  </xdr:twoCellAnchor>
  <xdr:twoCellAnchor>
    <xdr:from>
      <xdr:col>15</xdr:col>
      <xdr:colOff>504825</xdr:colOff>
      <xdr:row>14</xdr:row>
      <xdr:rowOff>76200</xdr:rowOff>
    </xdr:from>
    <xdr:to>
      <xdr:col>17</xdr:col>
      <xdr:colOff>85725</xdr:colOff>
      <xdr:row>17</xdr:row>
      <xdr:rowOff>0</xdr:rowOff>
    </xdr:to>
    <xdr:sp macro="" textlink="">
      <xdr:nvSpPr>
        <xdr:cNvPr id="4" name="Rounded Rectangle 3">
          <a:hlinkClick xmlns:r="http://schemas.openxmlformats.org/officeDocument/2006/relationships" r:id="rId1"/>
        </xdr:cNvPr>
        <xdr:cNvSpPr/>
      </xdr:nvSpPr>
      <xdr:spPr>
        <a:xfrm>
          <a:off x="8191500" y="2809875"/>
          <a:ext cx="847725" cy="381000"/>
        </a:xfrm>
        <a:prstGeom prst="roundRect">
          <a:avLst/>
        </a:prstGeom>
        <a:solidFill>
          <a:srgbClr val="0070C0"/>
        </a:solidFill>
        <a:ln>
          <a:solidFill>
            <a:srgbClr val="00206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400" b="1"/>
            <a:t>Biodata</a:t>
          </a:r>
        </a:p>
      </xdr:txBody>
    </xdr:sp>
    <xdr:clientData/>
  </xdr:twoCellAnchor>
  <mc:AlternateContent xmlns:mc="http://schemas.openxmlformats.org/markup-compatibility/2006">
    <mc:Choice xmlns:a14="http://schemas.microsoft.com/office/drawing/2010/main" Requires="a14">
      <xdr:twoCellAnchor editAs="oneCell">
        <xdr:from>
          <xdr:col>15</xdr:col>
          <xdr:colOff>219075</xdr:colOff>
          <xdr:row>7</xdr:row>
          <xdr:rowOff>38100</xdr:rowOff>
        </xdr:from>
        <xdr:to>
          <xdr:col>17</xdr:col>
          <xdr:colOff>390525</xdr:colOff>
          <xdr:row>8</xdr:row>
          <xdr:rowOff>95250</xdr:rowOff>
        </xdr:to>
        <xdr:sp macro="" textlink="">
          <xdr:nvSpPr>
            <xdr:cNvPr id="35842" name="Drop Down 2" hidden="1">
              <a:extLst>
                <a:ext uri="{63B3BB69-23CF-44E3-9099-C40C66FF867C}">
                  <a14:compatExt spid="_x0000_s35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10</xdr:col>
      <xdr:colOff>295275</xdr:colOff>
      <xdr:row>9</xdr:row>
      <xdr:rowOff>95250</xdr:rowOff>
    </xdr:from>
    <xdr:to>
      <xdr:col>12</xdr:col>
      <xdr:colOff>304800</xdr:colOff>
      <xdr:row>10</xdr:row>
      <xdr:rowOff>342900</xdr:rowOff>
    </xdr:to>
    <xdr:sp macro="[0]!Lihat" textlink="">
      <xdr:nvSpPr>
        <xdr:cNvPr id="2" name="Rounded Rectangle 1"/>
        <xdr:cNvSpPr/>
      </xdr:nvSpPr>
      <xdr:spPr>
        <a:xfrm>
          <a:off x="8953500" y="2085975"/>
          <a:ext cx="1143000" cy="438150"/>
        </a:xfrm>
        <a:prstGeom prst="roundRect">
          <a:avLst/>
        </a:prstGeom>
        <a:solidFill>
          <a:srgbClr val="00B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PREVIEW</a:t>
          </a:r>
          <a:r>
            <a:rPr lang="en-US" sz="1100" b="1" baseline="0"/>
            <a:t> DULU</a:t>
          </a:r>
          <a:endParaRPr lang="en-US" sz="1100" b="1"/>
        </a:p>
      </xdr:txBody>
    </xdr:sp>
    <xdr:clientData/>
  </xdr:twoCellAnchor>
  <xdr:twoCellAnchor>
    <xdr:from>
      <xdr:col>10</xdr:col>
      <xdr:colOff>304800</xdr:colOff>
      <xdr:row>10</xdr:row>
      <xdr:rowOff>447675</xdr:rowOff>
    </xdr:from>
    <xdr:to>
      <xdr:col>12</xdr:col>
      <xdr:colOff>314325</xdr:colOff>
      <xdr:row>11</xdr:row>
      <xdr:rowOff>352425</xdr:rowOff>
    </xdr:to>
    <xdr:sp macro="[0]!Cetak" textlink="">
      <xdr:nvSpPr>
        <xdr:cNvPr id="5" name="Rounded Rectangle 4"/>
        <xdr:cNvSpPr/>
      </xdr:nvSpPr>
      <xdr:spPr>
        <a:xfrm>
          <a:off x="8963025" y="2628900"/>
          <a:ext cx="1143000" cy="43815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PRINT</a:t>
          </a:r>
        </a:p>
      </xdr:txBody>
    </xdr:sp>
    <xdr:clientData/>
  </xdr:twoCellAnchor>
  <mc:AlternateContent xmlns:mc="http://schemas.openxmlformats.org/markup-compatibility/2006">
    <mc:Choice xmlns:a14="http://schemas.microsoft.com/office/drawing/2010/main" Requires="a14">
      <xdr:twoCellAnchor editAs="oneCell">
        <xdr:from>
          <xdr:col>10</xdr:col>
          <xdr:colOff>114300</xdr:colOff>
          <xdr:row>8</xdr:row>
          <xdr:rowOff>9525</xdr:rowOff>
        </xdr:from>
        <xdr:to>
          <xdr:col>12</xdr:col>
          <xdr:colOff>361950</xdr:colOff>
          <xdr:row>9</xdr:row>
          <xdr:rowOff>0</xdr:rowOff>
        </xdr:to>
        <xdr:sp macro="" textlink="">
          <xdr:nvSpPr>
            <xdr:cNvPr id="32770" name="Drop Down 2" hidden="1">
              <a:extLst>
                <a:ext uri="{63B3BB69-23CF-44E3-9099-C40C66FF867C}">
                  <a14:compatExt spid="_x0000_s327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10</xdr:col>
      <xdr:colOff>266700</xdr:colOff>
      <xdr:row>5</xdr:row>
      <xdr:rowOff>600075</xdr:rowOff>
    </xdr:from>
    <xdr:to>
      <xdr:col>14</xdr:col>
      <xdr:colOff>438150</xdr:colOff>
      <xdr:row>6</xdr:row>
      <xdr:rowOff>1009650</xdr:rowOff>
    </xdr:to>
    <xdr:sp macro="" textlink="">
      <xdr:nvSpPr>
        <xdr:cNvPr id="10" name="Cloud Callout 9"/>
        <xdr:cNvSpPr/>
      </xdr:nvSpPr>
      <xdr:spPr>
        <a:xfrm>
          <a:off x="7572375" y="1590675"/>
          <a:ext cx="2609850" cy="1800225"/>
        </a:xfrm>
        <a:prstGeom prst="cloudCallout">
          <a:avLst>
            <a:gd name="adj1" fmla="val -95119"/>
            <a:gd name="adj2" fmla="val -32328"/>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l"/>
          <a:r>
            <a:rPr lang="en-US" sz="1100">
              <a:solidFill>
                <a:schemeClr val="tx1"/>
              </a:solidFill>
            </a:rPr>
            <a:t>Masukkan</a:t>
          </a:r>
          <a:r>
            <a:rPr lang="en-US" sz="1100" baseline="0">
              <a:solidFill>
                <a:schemeClr val="tx1"/>
              </a:solidFill>
            </a:rPr>
            <a:t> photo Kedalam Kotak , Ukuran yang digunakan </a:t>
          </a:r>
        </a:p>
        <a:p>
          <a:pPr algn="l"/>
          <a:r>
            <a:rPr lang="en-US" sz="1100" baseline="0">
              <a:solidFill>
                <a:schemeClr val="tx1"/>
              </a:solidFill>
            </a:rPr>
            <a:t>3 cm x 4 cm, Gunakan Adobe Photo shop  untuk hasil yang maksimal.</a:t>
          </a:r>
          <a:endParaRPr lang="en-US" sz="1100">
            <a:solidFill>
              <a:schemeClr val="tx1"/>
            </a:solidFill>
          </a:endParaRPr>
        </a:p>
      </xdr:txBody>
    </xdr:sp>
    <xdr:clientData/>
  </xdr:twoCellAnchor>
  <xdr:twoCellAnchor editAs="oneCell">
    <xdr:from>
      <xdr:col>6</xdr:col>
      <xdr:colOff>0</xdr:colOff>
      <xdr:row>5</xdr:row>
      <xdr:rowOff>9525</xdr:rowOff>
    </xdr:from>
    <xdr:to>
      <xdr:col>7</xdr:col>
      <xdr:colOff>0</xdr:colOff>
      <xdr:row>5</xdr:row>
      <xdr:rowOff>1419225</xdr:rowOff>
    </xdr:to>
    <xdr:pic>
      <xdr:nvPicPr>
        <xdr:cNvPr id="4" name="Picture 3" descr="D:\Foto XII IPA 1 Th 2014\AFRI FEBRIA RAMADHANI.JPG"/>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72025" y="1000125"/>
          <a:ext cx="1076325" cy="1409700"/>
        </a:xfrm>
        <a:prstGeom prst="rect">
          <a:avLst/>
        </a:prstGeom>
        <a:noFill/>
        <a:ln>
          <a:noFill/>
        </a:ln>
      </xdr:spPr>
    </xdr:pic>
    <xdr:clientData/>
  </xdr:twoCellAnchor>
  <xdr:twoCellAnchor editAs="oneCell">
    <xdr:from>
      <xdr:col>5</xdr:col>
      <xdr:colOff>809625</xdr:colOff>
      <xdr:row>7</xdr:row>
      <xdr:rowOff>19051</xdr:rowOff>
    </xdr:from>
    <xdr:to>
      <xdr:col>6</xdr:col>
      <xdr:colOff>1066800</xdr:colOff>
      <xdr:row>8</xdr:row>
      <xdr:rowOff>28575</xdr:rowOff>
    </xdr:to>
    <xdr:pic>
      <xdr:nvPicPr>
        <xdr:cNvPr id="5" name="Picture 4" descr="D:\Foto XII IPA 1 Th 2014\AISA MUTIARA AKBAR.JPG"/>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62500" y="3867151"/>
          <a:ext cx="1076325" cy="1438274"/>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SISWA%20SMAN%204%20PADANG\RAPOR%20DPERBAIKI\RAPOR%20XI%202014-2015%20PERBAIKAN\RAPOR%20XI%20MIPA.4\2014-2015\7.Aplikasi%20Raport%20Kurikulum%202013%20v.3.1\Rapot%20Semester%201\Users\emyu\AppData\Local\Temp\RAPORT%20SMA%20KUR201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SISWA%20SMAN%204%20PADANG\RAPOR%20DPERBAIKI\RAPOR%20XI%202014-2015%20PERBAIKAN\RAPOR%20XI%20MIPA.4\1.%20Raport%207%20S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7"/>
      <sheetName val="min6"/>
      <sheetName val="min5"/>
      <sheetName val="min4"/>
      <sheetName val="min3"/>
      <sheetName val="min2"/>
      <sheetName val="min1"/>
      <sheetName val="P&amp;K"/>
      <sheetName val="penjs"/>
      <sheetName val="seni"/>
      <sheetName val="BinG"/>
      <sheetName val="Sej_U"/>
      <sheetName val="Mtk"/>
      <sheetName val="BInd"/>
      <sheetName val="pkn"/>
      <sheetName val="agm"/>
      <sheetName val="Petunjuk"/>
      <sheetName val="COVER1"/>
      <sheetName val="COVER2"/>
      <sheetName val="COVER3"/>
      <sheetName val="RAPORT"/>
      <sheetName val="DES_KOMP"/>
      <sheetName val="Biodata"/>
      <sheetName val="Bio_Guru"/>
      <sheetName val="LEGER"/>
      <sheetName val="Peringkat"/>
      <sheetName val="Cat.Prestasi"/>
      <sheetName val="NilKon"/>
    </sheetNames>
    <sheetDataSet>
      <sheetData sheetId="0"/>
      <sheetData sheetId="1">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2">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3">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4">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5">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6">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7">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8">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9">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10">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11">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12">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13">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14">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15">
        <row r="8">
          <cell r="E8" t="str">
            <v>Nama</v>
          </cell>
          <cell r="F8" t="str">
            <v>Kompetensi</v>
          </cell>
          <cell r="G8" t="str">
            <v>Catatan</v>
          </cell>
        </row>
        <row r="9">
          <cell r="D9" t="str">
            <v>3534A</v>
          </cell>
          <cell r="E9" t="str">
            <v>Achmad Albert</v>
          </cell>
          <cell r="F9" t="str">
            <v>Pengetahuan</v>
          </cell>
          <cell r="G9" t="str">
            <v>Baik, sudah memahami seluruh kompetensi, terutama sangat baik dalam memahami makna mujahadah an-nafs. Terus berlatih agar lebih baik dalam kompetensi yang lain.</v>
          </cell>
        </row>
        <row r="10">
          <cell r="D10" t="str">
            <v>3534B</v>
          </cell>
          <cell r="F10" t="str">
            <v>Keterampilan</v>
          </cell>
          <cell r="G10" t="str">
            <v>Sudah terampil dalam hafalan sebagian besar surat-surat yang ditentukan, namun masih perlu banyak berlatih dalam hafalan Q.S.An-Nur(24):2.</v>
          </cell>
        </row>
        <row r="11">
          <cell r="D11" t="str">
            <v>3534C</v>
          </cell>
          <cell r="F11" t="str">
            <v>Sikap Spritual dan Sosial</v>
          </cell>
          <cell r="G11" t="str">
            <v>Sudah baik mengamalkan agama yang dianutnya,konsisten menunj ukkan  sikap jujur dan hormat kepada guru, namun kontrol dirinya perlu ditingkatkan.</v>
          </cell>
        </row>
        <row r="12">
          <cell r="D12" t="str">
            <v>3496A</v>
          </cell>
          <cell r="E12" t="str">
            <v>Agustin WR Putri</v>
          </cell>
          <cell r="F12" t="str">
            <v>Pengetahuan</v>
          </cell>
          <cell r="G12" t="str">
            <v>Baik, sudah memahami seluruh kompetensi, terutama sangat baik dalam memahami makna mujahadah an-nafs. Terus berlatih agar lebih baik dalam kompetensi yang lain.</v>
          </cell>
        </row>
        <row r="13">
          <cell r="D13" t="str">
            <v>3496B</v>
          </cell>
          <cell r="F13" t="str">
            <v>Keterampilan</v>
          </cell>
          <cell r="G13" t="str">
            <v>Sudah terampil dalam hafalan sebagian besar surat-surat yang ditentukan, namun masih perlu banyak berlatih dalam hafalan Q.S.An-Nur(24):2.</v>
          </cell>
        </row>
        <row r="14">
          <cell r="D14" t="str">
            <v>3496C</v>
          </cell>
          <cell r="F14" t="str">
            <v>Sikap Spritual dan Sosial</v>
          </cell>
          <cell r="G14" t="str">
            <v>Sudah baik mengamalkan agama yang dianutnya,konsisten menunj ukkan  sikap jujur dan hormat kepada guru,namunkontrol dirinya perlu ditingkatkan.</v>
          </cell>
        </row>
        <row r="15">
          <cell r="D15" t="str">
            <v>3415A</v>
          </cell>
          <cell r="E15" t="str">
            <v>Andi Tri Saputra</v>
          </cell>
          <cell r="F15" t="str">
            <v>Pengetahuan</v>
          </cell>
          <cell r="G15" t="str">
            <v>Baik, sudah memahami seluruh kompetensi, terutama sangat baik dalam memahami makna mujahadah an-nafs. Terus berlatih agar lebih baik dalam kompetensi yang lain.</v>
          </cell>
        </row>
        <row r="16">
          <cell r="D16" t="str">
            <v>3415B</v>
          </cell>
          <cell r="F16" t="str">
            <v>Keterampilan</v>
          </cell>
          <cell r="G16" t="str">
            <v>Sudah terampil dalam hafalan sebagian besar surat-surat yang ditentukan, namun masih perlu banyak berlatih dalam hafalan Q.S.An-Nur(24):2.</v>
          </cell>
        </row>
        <row r="17">
          <cell r="D17" t="str">
            <v>3415C</v>
          </cell>
          <cell r="F17" t="str">
            <v>Sikap Spritual dan Sosial</v>
          </cell>
          <cell r="G17" t="str">
            <v>Sudah baik mengamalkan agama yang dianutnya,konsisten menunj ukkan  sikap jujur dan hormat kepada guru,namunkontrol dirinya perlu ditingkatkan.</v>
          </cell>
        </row>
        <row r="18">
          <cell r="D18" t="str">
            <v>3458A</v>
          </cell>
          <cell r="E18" t="str">
            <v>Arum Pramusinta</v>
          </cell>
          <cell r="F18" t="str">
            <v>Pengetahuan</v>
          </cell>
          <cell r="G18" t="str">
            <v>Baik, sudah memahami seluruh kompetensi, terutama sangat baik dalam memahami makna mujahadah an-nafs. Terus berlatih agar lebih baik dalam kompetensi yang lain.</v>
          </cell>
        </row>
        <row r="19">
          <cell r="D19" t="str">
            <v>3458B</v>
          </cell>
          <cell r="F19" t="str">
            <v>Keterampilan</v>
          </cell>
          <cell r="G19" t="str">
            <v>Sudah terampil dalam hafalan sebagian besar surat-surat yang ditentukan, namun masih perlu banyak berlatih dalam hafalan Q.S.An-Nur(24):2.</v>
          </cell>
        </row>
        <row r="20">
          <cell r="D20" t="str">
            <v>3458C</v>
          </cell>
          <cell r="F20" t="str">
            <v>Sikap Spritual dan Sosial</v>
          </cell>
          <cell r="G20" t="str">
            <v>Sudah baik mengamalkan agama yang dianutnya,konsisten menunj ukkan  sikap jujur dan hormat kepada guru,namunkontrol dirinya perlu ditingkatkan.</v>
          </cell>
        </row>
        <row r="21">
          <cell r="D21" t="str">
            <v>3579A</v>
          </cell>
          <cell r="E21" t="str">
            <v>Ayu Ambarwati</v>
          </cell>
          <cell r="F21" t="str">
            <v>Pengetahuan</v>
          </cell>
          <cell r="G21" t="str">
            <v>Baik, sudah memahami seluruh kompetensi, terutama sangat baik dalam memahami makna mujahadah an-nafs. Terus berlatih agar lebih baik dalam kompetensi yang lain.</v>
          </cell>
        </row>
        <row r="22">
          <cell r="D22" t="str">
            <v>3579B</v>
          </cell>
          <cell r="F22" t="str">
            <v>Keterampilan</v>
          </cell>
          <cell r="G22" t="str">
            <v>Sudah terampil dalam hafalan sebagian besar surat-surat yang ditentukan, namun masih perlu banyak berlatih dalam hafalan Q.S.An-Nur(24):2.</v>
          </cell>
        </row>
        <row r="23">
          <cell r="D23" t="str">
            <v>3579C</v>
          </cell>
          <cell r="F23" t="str">
            <v>Sikap Spritual dan Sosial</v>
          </cell>
          <cell r="G23" t="str">
            <v>Sudah baik mengamalkan agama yang dianutnya,konsisten menunj ukkan  sikap jujur dan hormat kepada guru,namunkontrol dirinya perlu ditingkatkan.</v>
          </cell>
        </row>
        <row r="24">
          <cell r="D24" t="str">
            <v>3539A</v>
          </cell>
          <cell r="E24" t="str">
            <v>Ayu Khinanti Hardiko</v>
          </cell>
          <cell r="F24" t="str">
            <v>Pengetahuan</v>
          </cell>
          <cell r="G24" t="str">
            <v>Baik, sudah memahami seluruh kompetensi, terutama sangat baik dalam memahami makna mujahadah an-nafs. Terus berlatih agar lebih baik dalam kompetensi yang lain.</v>
          </cell>
        </row>
        <row r="25">
          <cell r="D25" t="str">
            <v>3539B</v>
          </cell>
          <cell r="F25" t="str">
            <v>Keterampilan</v>
          </cell>
          <cell r="G25" t="str">
            <v>Sudah terampil dalam hafalan sebagian besar surat-surat yang ditentukan, namun masih perlu banyak berlatih dalam hafalan Q.S.An-Nur(24):2.</v>
          </cell>
        </row>
        <row r="26">
          <cell r="D26" t="str">
            <v>3539C</v>
          </cell>
          <cell r="F26" t="str">
            <v>Sikap Spritual dan Sosial</v>
          </cell>
          <cell r="G26" t="str">
            <v>Sudah baik mengamalkan agama yang dianutnya,konsisten menunj ukkan  sikap jujur dan hormat kepada guru,namunkontrol dirinya perlu ditingkatkan.</v>
          </cell>
        </row>
        <row r="27">
          <cell r="D27" t="str">
            <v>3419A</v>
          </cell>
          <cell r="E27" t="str">
            <v>Dessy Ariani</v>
          </cell>
          <cell r="F27" t="str">
            <v>Pengetahuan</v>
          </cell>
          <cell r="G27" t="str">
            <v>Baik, sudah memahami seluruh kompetensi, terutama sangat baik dalam memahami makna mujahadah an-nafs. Terus berlatih agar lebih baik dalam kompetensi yang lain.</v>
          </cell>
        </row>
        <row r="28">
          <cell r="D28" t="str">
            <v>3419B</v>
          </cell>
          <cell r="F28" t="str">
            <v>Keterampilan</v>
          </cell>
          <cell r="G28" t="str">
            <v>Sudah terampil dalam hafalan sebagian besar surat-surat yang ditentukan, namun masih perlu banyak berlatih dalam hafalan Q.S.An-Nur(24):2.</v>
          </cell>
        </row>
        <row r="29">
          <cell r="D29" t="str">
            <v>3419C</v>
          </cell>
          <cell r="F29" t="str">
            <v>Sikap Spritual dan Sosial</v>
          </cell>
          <cell r="G29" t="str">
            <v>Sudah baik mengamalkan agama yang dianutnya,konsisten menunj ukkan  sikap jujur dan hormat kepada guru,namunkontrol dirinya perlu ditingkatkan.</v>
          </cell>
        </row>
        <row r="30">
          <cell r="D30" t="str">
            <v>3635A</v>
          </cell>
          <cell r="E30" t="str">
            <v>Dian Tri Santi Utami</v>
          </cell>
          <cell r="F30" t="str">
            <v>Pengetahuan</v>
          </cell>
          <cell r="G30" t="str">
            <v>Baik, sudah memahami seluruh kompetensi, terutama sangat baik dalam memahami makna mujahadah an-nafs. Terus berlatih agar lebih baik dalam kompetensi yang lain.</v>
          </cell>
        </row>
        <row r="31">
          <cell r="D31" t="str">
            <v>3635B</v>
          </cell>
          <cell r="F31" t="str">
            <v>Keterampilan</v>
          </cell>
          <cell r="G31" t="str">
            <v>Sudah terampil dalam hafalan sebagian besar surat-surat yang ditentukan, namun masih perlu banyak berlatih dalam hafalan Q.S.An-Nur(24):2.</v>
          </cell>
        </row>
        <row r="32">
          <cell r="D32" t="str">
            <v>3635C</v>
          </cell>
          <cell r="F32" t="str">
            <v>Sikap Spritual dan Sosial</v>
          </cell>
          <cell r="G32" t="str">
            <v>Sudah baik mengamalkan agama yang dianutnya,konsisten menunj ukkan  sikap jujur dan hormat kepada guru,namunkontrol dirinya perlu ditingkatkan.</v>
          </cell>
        </row>
        <row r="33">
          <cell r="D33" t="str">
            <v>3426A</v>
          </cell>
          <cell r="E33" t="str">
            <v>Fane Amalia Tambayong</v>
          </cell>
          <cell r="F33" t="str">
            <v>Pengetahuan</v>
          </cell>
          <cell r="G33" t="str">
            <v>Baik, sudah memahami seluruh kompetensi, terutama sangat baik dalam memahami makna mujahadah an-nafs. Terus berlatih agar lebih baik dalam kompetensi yang lain.</v>
          </cell>
        </row>
        <row r="34">
          <cell r="D34" t="str">
            <v>3426B</v>
          </cell>
          <cell r="F34" t="str">
            <v>Keterampilan</v>
          </cell>
          <cell r="G34" t="str">
            <v>Sudah terampil dalam hafalan sebagian besar surat-surat yang ditentukan, namun masih perlu banyak berlatih dalam hafalan Q.S.An-Nur(24):2.</v>
          </cell>
        </row>
        <row r="35">
          <cell r="D35" t="str">
            <v>3426C</v>
          </cell>
          <cell r="F35" t="str">
            <v>Sikap Spritual dan Sosial</v>
          </cell>
          <cell r="G35" t="str">
            <v>Sudah baik mengamalkan agama yang dianutnya,konsisten menunj ukkan  sikap jujur dan hormat kepada guru,namunkontrol dirinya perlu ditingkatkan.</v>
          </cell>
        </row>
        <row r="36">
          <cell r="D36" t="str">
            <v>3505A</v>
          </cell>
          <cell r="E36" t="str">
            <v>Ferdi Hadi Wijaya</v>
          </cell>
          <cell r="F36" t="str">
            <v>Pengetahuan</v>
          </cell>
          <cell r="G36" t="str">
            <v>Baik, sudah memahami seluruh kompetensi, terutama sangat baik dalam memahami makna mujahadah an-nafs. Terus berlatih agar lebih baik dalam kompetensi yang lain.</v>
          </cell>
        </row>
        <row r="37">
          <cell r="D37" t="str">
            <v>3505B</v>
          </cell>
          <cell r="F37" t="str">
            <v>Keterampilan</v>
          </cell>
          <cell r="G37" t="str">
            <v>Sudah terampil dalam hafalan sebagian besar surat-surat yang ditentukan, namun masih perlu banyak berlatih dalam hafalan Q.S.An-Nur(24):2.</v>
          </cell>
        </row>
        <row r="38">
          <cell r="D38" t="str">
            <v>3505C</v>
          </cell>
          <cell r="F38" t="str">
            <v>Sikap Spritual dan Sosial</v>
          </cell>
          <cell r="G38" t="str">
            <v>Sudah baik mengamalkan agama yang dianutnya,konsisten menunj ukkan  sikap jujur dan hormat kepada guru,namunkontrol dirinya perlu ditingkatkan.</v>
          </cell>
        </row>
        <row r="39">
          <cell r="D39" t="str">
            <v>3464A</v>
          </cell>
          <cell r="E39" t="str">
            <v>Fernando Panjaitan</v>
          </cell>
          <cell r="F39" t="str">
            <v>Pengetahuan</v>
          </cell>
          <cell r="G39" t="str">
            <v>Baik, sudah memahami seluruh kompetensi, terutama sangat baik dalam memahami makna mujahadah an-nafs. Terus berlatih agar lebih baik dalam kompetensi yang lain.</v>
          </cell>
        </row>
        <row r="40">
          <cell r="D40" t="str">
            <v>3464B</v>
          </cell>
          <cell r="F40" t="str">
            <v>Keterampilan</v>
          </cell>
          <cell r="G40" t="str">
            <v>Sudah terampil dalam hafalan sebagian besar surat-surat yang ditentukan, namun masih perlu banyak berlatih dalam hafalan Q.S.An-Nur(24):2.</v>
          </cell>
        </row>
        <row r="41">
          <cell r="D41" t="str">
            <v>3464C</v>
          </cell>
          <cell r="F41" t="str">
            <v>Sikap Spritual dan Sosial</v>
          </cell>
          <cell r="G41" t="str">
            <v>Sudah baik mengamalkan agama yang dianutnya,konsisten menunj ukkan  sikap jujur dan hormat kepada guru,namunkontrol dirinya perlu ditingkatkan.</v>
          </cell>
        </row>
        <row r="42">
          <cell r="D42" t="str">
            <v>3466A</v>
          </cell>
          <cell r="E42" t="str">
            <v>Fika Reinifa Astari</v>
          </cell>
          <cell r="F42" t="str">
            <v>Pengetahuan</v>
          </cell>
          <cell r="G42" t="str">
            <v>Baik, sudah memahami seluruh kompetensi, terutama sangat baik dalam memahami makna mujahadah an-nafs. Terus berlatih agar lebih baik dalam kompetensi yang lain.</v>
          </cell>
        </row>
        <row r="43">
          <cell r="D43" t="str">
            <v>3466B</v>
          </cell>
          <cell r="F43" t="str">
            <v>Keterampilan</v>
          </cell>
          <cell r="G43" t="str">
            <v>Sudah terampil dalam hafalan sebagian besar surat-surat yang ditentukan, namun masih perlu banyak berlatih dalam hafalan Q.S.An-Nur(24):2.</v>
          </cell>
        </row>
        <row r="44">
          <cell r="D44" t="str">
            <v>3466C</v>
          </cell>
          <cell r="F44" t="str">
            <v>Sikap Spritual dan Sosial</v>
          </cell>
          <cell r="G44" t="str">
            <v>Sudah baik mengamalkan agama yang dianutnya,konsisten menunj ukkan  sikap jujur dan hormat kepada guru,namunkontrol dirinya perlu ditingkatkan.</v>
          </cell>
        </row>
        <row r="45">
          <cell r="D45" t="str">
            <v>3545A</v>
          </cell>
          <cell r="E45" t="str">
            <v>Firman Tendrian Tindri</v>
          </cell>
          <cell r="F45" t="str">
            <v>Pengetahuan</v>
          </cell>
          <cell r="G45" t="str">
            <v>Baik, sudah memahami seluruh kompetensi, terutama sangat baik dalam memahami makna mujahadah an-nafs. Terus berlatih agar lebih baik dalam kompetensi yang lain.</v>
          </cell>
        </row>
        <row r="46">
          <cell r="D46" t="str">
            <v>3545B</v>
          </cell>
          <cell r="F46" t="str">
            <v>Keterampilan</v>
          </cell>
          <cell r="G46" t="str">
            <v>Sudah terampil dalam hafalan sebagian besar surat-surat yang ditentukan, namun masih perlu banyak berlatih dalam hafalan Q.S.An-Nur(24):2.</v>
          </cell>
        </row>
        <row r="47">
          <cell r="D47" t="str">
            <v>3545C</v>
          </cell>
          <cell r="F47" t="str">
            <v>Sikap Spritual dan Sosial</v>
          </cell>
          <cell r="G47" t="str">
            <v>Sudah baik mengamalkan agama yang dianutnya,konsisten menunj ukkan  sikap jujur dan hormat kepada guru,namunkontrol dirinya perlu ditingkatkan.</v>
          </cell>
        </row>
        <row r="48">
          <cell r="D48" t="str">
            <v>3512A</v>
          </cell>
          <cell r="E48" t="str">
            <v>Husnul Khotimah</v>
          </cell>
          <cell r="F48" t="str">
            <v>Pengetahuan</v>
          </cell>
          <cell r="G48" t="str">
            <v>Baik, sudah memahami seluruh kompetensi, terutama sangat baik dalam memahami makna mujahadah an-nafs. Terus berlatih agar lebih baik dalam kompetensi yang lain.</v>
          </cell>
        </row>
        <row r="49">
          <cell r="D49" t="str">
            <v>3512B</v>
          </cell>
          <cell r="F49" t="str">
            <v>Keterampilan</v>
          </cell>
          <cell r="G49" t="str">
            <v>Sudah terampil dalam hafalan sebagian besar surat-surat yang ditentukan, namun masih perlu banyak berlatih dalam hafalan Q.S.An-Nur(24):2.</v>
          </cell>
        </row>
        <row r="50">
          <cell r="D50" t="str">
            <v>3512C</v>
          </cell>
          <cell r="F50" t="str">
            <v>Sikap Spritual dan Sosial</v>
          </cell>
          <cell r="G50" t="str">
            <v>Sudah baik mengamalkan agama yang dianutnya,konsisten menunj ukkan  sikap jujur dan hormat kepada guru,namunkontrol dirinya perlu ditingkatkan.</v>
          </cell>
        </row>
        <row r="51">
          <cell r="D51" t="str">
            <v>3548A</v>
          </cell>
          <cell r="E51" t="str">
            <v>Irdawati</v>
          </cell>
          <cell r="F51" t="str">
            <v>Pengetahuan</v>
          </cell>
          <cell r="G51" t="str">
            <v>Baik, sudah memahami seluruh kompetensi, terutama sangat baik dalam memahami makna mujahadah an-nafs. Terus berlatih agar lebih baik dalam kompetensi yang lain.</v>
          </cell>
        </row>
        <row r="52">
          <cell r="D52" t="str">
            <v>3548B</v>
          </cell>
          <cell r="F52" t="str">
            <v>Keterampilan</v>
          </cell>
          <cell r="G52" t="str">
            <v>Sudah terampil dalam hafalan sebagian besar surat-surat yang ditentukan, namun masih perlu banyak berlatih dalam hafalan Q.S.An-Nur(24):2.</v>
          </cell>
        </row>
        <row r="53">
          <cell r="D53" t="str">
            <v>3548C</v>
          </cell>
          <cell r="F53" t="str">
            <v>Sikap Spritual dan Sosial</v>
          </cell>
          <cell r="G53" t="str">
            <v>Sudah baik mengamalkan agama yang dianutnya,konsisten menunj ukkan  sikap jujur dan hormat kepada guru,namunkontrol dirinya perlu ditingkatkan.</v>
          </cell>
        </row>
        <row r="54">
          <cell r="D54" t="str">
            <v>3472A</v>
          </cell>
          <cell r="E54" t="str">
            <v>Irma Ardini</v>
          </cell>
          <cell r="F54" t="str">
            <v>Pengetahuan</v>
          </cell>
          <cell r="G54" t="str">
            <v>Baik, sudah memahami seluruh kompetensi, terutama sangat baik dalam memahami makna mujahadah an-nafs. Terus berlatih agar lebih baik dalam kompetensi yang lain.</v>
          </cell>
        </row>
        <row r="55">
          <cell r="D55" t="str">
            <v>3472B</v>
          </cell>
          <cell r="F55" t="str">
            <v>Keterampilan</v>
          </cell>
          <cell r="G55" t="str">
            <v>Sudah terampil dalam hafalan sebagian besar surat-surat yang ditentukan, namun masih perlu banyak berlatih dalam hafalan Q.S.An-Nur(24):2.</v>
          </cell>
        </row>
        <row r="56">
          <cell r="D56" t="str">
            <v>3472C</v>
          </cell>
          <cell r="F56" t="str">
            <v>Sikap Spritual dan Sosial</v>
          </cell>
          <cell r="G56" t="str">
            <v>Sudah baik mengamalkan agama yang dianutnya,konsisten menunj ukkan  sikap jujur dan hormat kepada guru,namunkontrol dirinya perlu ditingkatkan.</v>
          </cell>
        </row>
        <row r="57">
          <cell r="D57" t="str">
            <v>3551A</v>
          </cell>
          <cell r="E57" t="str">
            <v>Ladies Latifah</v>
          </cell>
          <cell r="F57" t="str">
            <v>Pengetahuan</v>
          </cell>
          <cell r="G57" t="str">
            <v>Baik, sudah memahami seluruh kompetensi, terutama sangat baik dalam memahami makna mujahadah an-nafs. Terus berlatih agar lebih baik dalam kompetensi yang lain.</v>
          </cell>
        </row>
        <row r="58">
          <cell r="D58" t="str">
            <v>3551B</v>
          </cell>
          <cell r="F58" t="str">
            <v>Keterampilan</v>
          </cell>
          <cell r="G58" t="str">
            <v>Sudah terampil dalam hafalan sebagian besar surat-surat yang ditentukan, namun masih perlu banyak berlatih dalam hafalan Q.S.An-Nur(24):2.</v>
          </cell>
        </row>
        <row r="59">
          <cell r="D59" t="str">
            <v>3551C</v>
          </cell>
          <cell r="F59" t="str">
            <v>Sikap Spritual dan Sosial</v>
          </cell>
          <cell r="G59" t="str">
            <v>Sudah baik mengamalkan agama yang dianutnya,konsisten menunj ukkan  sikap jujur dan hormat kepada guru,namunkontrol dirinya perlu ditingkatkan.</v>
          </cell>
        </row>
        <row r="60">
          <cell r="D60" t="str">
            <v>3433A</v>
          </cell>
          <cell r="E60" t="str">
            <v>Mahmuddin Bashar</v>
          </cell>
          <cell r="F60" t="str">
            <v>Pengetahuan</v>
          </cell>
          <cell r="G60" t="str">
            <v>Baik, sudah memahami seluruh kompetensi, terutama sangat baik dalam memahami makna mujahadah an-nafs. Terus berlatih agar lebih baik dalam kompetensi yang lain.</v>
          </cell>
        </row>
        <row r="61">
          <cell r="D61" t="str">
            <v>3433B</v>
          </cell>
          <cell r="F61" t="str">
            <v>Keterampilan</v>
          </cell>
          <cell r="G61" t="str">
            <v>Sudah terampil dalam hafalan sebagian besar surat-surat yang ditentukan, namun masih perlu banyak berlatih dalam hafalan Q.S.An-Nur(24):2.</v>
          </cell>
        </row>
        <row r="62">
          <cell r="D62" t="str">
            <v>3433C</v>
          </cell>
          <cell r="F62" t="str">
            <v>Sikap Spritual dan Sosial</v>
          </cell>
          <cell r="G62" t="str">
            <v>Sudah baik mengamalkan agama yang dianutnya,konsisten menunj ukkan  sikap jujur dan hormat kepada guru,namunkontrol dirinya perlu ditingkatkan.</v>
          </cell>
        </row>
        <row r="63">
          <cell r="D63" t="str">
            <v>3434A</v>
          </cell>
          <cell r="E63" t="str">
            <v>Meilan Novita Sari</v>
          </cell>
          <cell r="F63" t="str">
            <v>Pengetahuan</v>
          </cell>
          <cell r="G63" t="str">
            <v>Baik, sudah memahami seluruh kompetensi, terutama sangat baik dalam memahami makna mujahadah an-nafs. Terus berlatih agar lebih baik dalam kompetensi yang lain.</v>
          </cell>
        </row>
        <row r="64">
          <cell r="D64" t="str">
            <v>3434B</v>
          </cell>
          <cell r="F64" t="str">
            <v>Keterampilan</v>
          </cell>
          <cell r="G64" t="str">
            <v>Sudah terampil dalam hafalan sebagian besar surat-surat yang ditentukan, namun masih perlu banyak berlatih dalam hafalan Q.S.An-Nur(24):2.</v>
          </cell>
        </row>
        <row r="65">
          <cell r="D65" t="str">
            <v>3434C</v>
          </cell>
          <cell r="F65" t="str">
            <v>Sikap Spritual dan Sosial</v>
          </cell>
          <cell r="G65" t="str">
            <v>Sudah baik mengamalkan agama yang dianutnya,konsisten menunj ukkan  sikap jujur dan hormat kepada guru,namunkontrol dirinya perlu ditingkatkan.</v>
          </cell>
        </row>
        <row r="66">
          <cell r="D66" t="str">
            <v>3594A</v>
          </cell>
          <cell r="E66" t="str">
            <v>Meirisa Indah Pratiwi</v>
          </cell>
          <cell r="F66" t="str">
            <v>Pengetahuan</v>
          </cell>
          <cell r="G66" t="str">
            <v>Baik, sudah memahami seluruh kompetensi, terutama sangat baik dalam memahami makna mujahadah an-nafs. Terus berlatih agar lebih baik dalam kompetensi yang lain.</v>
          </cell>
        </row>
        <row r="67">
          <cell r="D67" t="str">
            <v>3594B</v>
          </cell>
          <cell r="F67" t="str">
            <v>Keterampilan</v>
          </cell>
          <cell r="G67" t="str">
            <v>Sudah terampil dalam hafalan sebagian besar surat-surat yang ditentukan, namun masih perlu banyak berlatih dalam hafalan Q.S.An-Nur(24):2.</v>
          </cell>
        </row>
        <row r="68">
          <cell r="D68" t="str">
            <v>3594C</v>
          </cell>
          <cell r="F68" t="str">
            <v>Sikap Spritual dan Sosial</v>
          </cell>
          <cell r="G68" t="str">
            <v>Sudah baik mengamalkan agama yang dianutnya,konsisten menunj ukkan  sikap jujur dan hormat kepada guru,namunkontrol dirinya perlu ditingkatkan.</v>
          </cell>
        </row>
        <row r="69">
          <cell r="D69" t="str">
            <v>3437A</v>
          </cell>
          <cell r="E69" t="str">
            <v>Mina Fitriah</v>
          </cell>
          <cell r="F69" t="str">
            <v>Pengetahuan</v>
          </cell>
          <cell r="G69" t="str">
            <v>Baik, sudah memahami seluruh kompetensi, terutama sangat baik dalam memahami makna mujahadah an-nafs. Terus berlatih agar lebih baik dalam kompetensi yang lain.</v>
          </cell>
        </row>
        <row r="70">
          <cell r="D70" t="str">
            <v>3437B</v>
          </cell>
          <cell r="F70" t="str">
            <v>Keterampilan</v>
          </cell>
          <cell r="G70" t="str">
            <v>Sudah terampil dalam hafalan sebagian besar surat-surat yang ditentukan, namun masih perlu banyak berlatih dalam hafalan Q.S.An-Nur(24):2.</v>
          </cell>
        </row>
        <row r="71">
          <cell r="D71" t="str">
            <v>3437C</v>
          </cell>
          <cell r="F71" t="str">
            <v>Sikap Spritual dan Sosial</v>
          </cell>
          <cell r="G71" t="str">
            <v>Sudah baik mengamalkan agama yang dianutnya,konsisten menunj ukkan  sikap jujur dan hormat kepada guru,namunkontrol dirinya perlu ditingkatkan.</v>
          </cell>
        </row>
        <row r="72">
          <cell r="D72" t="str">
            <v>3426A</v>
          </cell>
          <cell r="E72" t="str">
            <v>Mifta Churohma</v>
          </cell>
          <cell r="F72" t="str">
            <v>Pengetahuan</v>
          </cell>
          <cell r="G72" t="str">
            <v>Baik, sudah memahami seluruh kompetensi, terutama sangat baik dalam memahami makna mujahadah an-nafs. Terus berlatih agar lebih baik dalam kompetensi yang lain.</v>
          </cell>
        </row>
        <row r="73">
          <cell r="D73" t="str">
            <v>3426B</v>
          </cell>
          <cell r="F73" t="str">
            <v>Keterampilan</v>
          </cell>
          <cell r="G73" t="str">
            <v>Sudah terampil dalam hafalan sebagian besar surat-surat yang ditentukan, namun masih perlu banyak berlatih dalam hafalan Q.S.An-Nur(24):2.</v>
          </cell>
        </row>
        <row r="74">
          <cell r="D74" t="str">
            <v>3426C</v>
          </cell>
          <cell r="F74" t="str">
            <v>Sikap Spritual dan Sosial</v>
          </cell>
          <cell r="G74" t="str">
            <v>Sudah baik mengamalkan agama yang dianutnya,konsisten menunj ukkan  sikap jujur dan hormat kepada guru,namunkontrol dirinya perlu ditingkatkan.</v>
          </cell>
        </row>
        <row r="75">
          <cell r="D75" t="str">
            <v>3476A</v>
          </cell>
          <cell r="E75" t="str">
            <v>Naten Dimas AS</v>
          </cell>
          <cell r="F75" t="str">
            <v>Pengetahuan</v>
          </cell>
          <cell r="G75" t="str">
            <v>Baik, sudah memahami seluruh kompetensi, terutama sangat baik dalam memahami makna mujahadah an-nafs. Terus berlatih agar lebih baik dalam kompetensi yang lain.</v>
          </cell>
        </row>
        <row r="76">
          <cell r="D76" t="str">
            <v>3476B</v>
          </cell>
          <cell r="F76" t="str">
            <v>Keterampilan</v>
          </cell>
          <cell r="G76" t="str">
            <v>Sudah terampil dalam hafalan sebagian besar surat-surat yang ditentukan, namun masih perlu banyak berlatih dalam hafalan Q.S.An-Nur(24):2.</v>
          </cell>
        </row>
        <row r="77">
          <cell r="D77" t="str">
            <v>3476C</v>
          </cell>
          <cell r="F77" t="str">
            <v>Sikap Spritual dan Sosial</v>
          </cell>
          <cell r="G77" t="str">
            <v>Sudah baik mengamalkan agama yang dianutnya,konsisten menunj ukkan  sikap jujur dan hormat kepada guru,namunkontrol dirinya perlu ditingkatkan.</v>
          </cell>
        </row>
        <row r="78">
          <cell r="D78" t="str">
            <v>3523A</v>
          </cell>
          <cell r="E78" t="str">
            <v>Nur Fitria</v>
          </cell>
          <cell r="F78" t="str">
            <v>Pengetahuan</v>
          </cell>
          <cell r="G78" t="str">
            <v>Baik, sudah memahami seluruh kompetensi, terutama sangat baik dalam memahami makna mujahadah an-nafs. Terus berlatih agar lebih baik dalam kompetensi yang lain.</v>
          </cell>
        </row>
        <row r="79">
          <cell r="D79" t="str">
            <v>3523B</v>
          </cell>
          <cell r="F79" t="str">
            <v>Keterampilan</v>
          </cell>
          <cell r="G79" t="str">
            <v>Sudah terampil dalam hafalan sebagian besar surat-surat yang ditentukan, namun masih perlu banyak berlatih dalam hafalan Q.S.An-Nur(24):2.</v>
          </cell>
        </row>
        <row r="80">
          <cell r="D80" t="str">
            <v>3523C</v>
          </cell>
          <cell r="F80" t="str">
            <v>Sikap Spritual dan Sosial</v>
          </cell>
          <cell r="G80" t="str">
            <v>Sudah baik mengamalkan agama yang dianutnya,konsisten menunj ukkan  sikap jujur dan hormat kepada guru,namunkontrol dirinya perlu ditingkatkan.</v>
          </cell>
        </row>
        <row r="81">
          <cell r="D81" t="str">
            <v>3634A</v>
          </cell>
          <cell r="E81" t="str">
            <v>Nova Rosida</v>
          </cell>
          <cell r="F81" t="str">
            <v>Pengetahuan</v>
          </cell>
          <cell r="G81" t="str">
            <v>Baik, sudah memahami seluruh kompetensi, terutama sangat baik dalam memahami makna mujahadah an-nafs. Terus berlatih agar lebih baik dalam kompetensi yang lain.</v>
          </cell>
        </row>
        <row r="82">
          <cell r="D82" t="str">
            <v>3634B</v>
          </cell>
          <cell r="F82" t="str">
            <v>Keterampilan</v>
          </cell>
          <cell r="G82" t="str">
            <v>Sudah terampil dalam hafalan sebagian besar surat-surat yang ditentukan, namun masih perlu banyak berlatih dalam hafalan Q.S.An-Nur(24):2.</v>
          </cell>
        </row>
        <row r="83">
          <cell r="D83" t="str">
            <v>3634C</v>
          </cell>
          <cell r="F83" t="str">
            <v>Sikap Spritual dan Sosial</v>
          </cell>
          <cell r="G83" t="str">
            <v>Sudah baik mengamalkan agama yang dianutnya,konsisten menunj ukkan  sikap jujur dan hormat kepada guru,namunkontrol dirinya perlu ditingkatkan.</v>
          </cell>
        </row>
        <row r="84">
          <cell r="D84" t="str">
            <v>3441A</v>
          </cell>
          <cell r="E84" t="str">
            <v>Novialesty Muslimah</v>
          </cell>
          <cell r="F84" t="str">
            <v>Pengetahuan</v>
          </cell>
          <cell r="G84" t="str">
            <v>Baik, sudah memahami seluruh kompetensi, terutama sangat baik dalam memahami makna mujahadah an-nafs. Terus berlatih agar lebih baik dalam kompetensi yang lain.</v>
          </cell>
        </row>
        <row r="85">
          <cell r="D85" t="str">
            <v>3441B</v>
          </cell>
          <cell r="F85" t="str">
            <v>Keterampilan</v>
          </cell>
          <cell r="G85" t="str">
            <v>Sudah terampil dalam hafalan sebagian besar surat-surat yang ditentukan, namun masih perlu banyak berlatih dalam hafalan Q.S.An-Nur(24):2.</v>
          </cell>
        </row>
        <row r="86">
          <cell r="D86" t="str">
            <v>3441C</v>
          </cell>
          <cell r="F86" t="str">
            <v>Sikap Spritual dan Sosial</v>
          </cell>
          <cell r="G86" t="str">
            <v>Sudah baik mengamalkan agama yang dianutnya,konsisten menunj ukkan  sikap jujur dan hormat kepada guru,namunkontrol dirinya perlu ditingkatkan.</v>
          </cell>
        </row>
        <row r="87">
          <cell r="D87" t="str">
            <v>3601A</v>
          </cell>
          <cell r="E87" t="str">
            <v>Pahrur Rozi</v>
          </cell>
          <cell r="F87" t="str">
            <v>Pengetahuan</v>
          </cell>
          <cell r="G87" t="str">
            <v>Baik, sudah memahami seluruh kompetensi, terutama sangat baik dalam memahami makna mujahadah an-nafs. Terus berlatih agar lebih baik dalam kompetensi yang lain.</v>
          </cell>
        </row>
        <row r="88">
          <cell r="D88" t="str">
            <v>3601B</v>
          </cell>
          <cell r="F88" t="str">
            <v>Keterampilan</v>
          </cell>
          <cell r="G88" t="str">
            <v>Sudah terampil dalam hafalan sebagian besar surat-surat yang ditentukan, namun masih perlu banyak berlatih dalam hafalan Q.S.An-Nur(24):2.</v>
          </cell>
        </row>
        <row r="89">
          <cell r="D89" t="str">
            <v>3601C</v>
          </cell>
          <cell r="F89" t="str">
            <v>Sikap Spritual dan Sosial</v>
          </cell>
          <cell r="G89" t="str">
            <v>Sudah baik mengamalkan agama yang dianutnya,konsisten menunj ukkan  sikap jujur dan hormat kepada guru,namunkontrol dirinya perlu ditingkatkan.</v>
          </cell>
        </row>
        <row r="90">
          <cell r="D90" t="str">
            <v>3559A</v>
          </cell>
          <cell r="E90" t="str">
            <v>Putri Andriani</v>
          </cell>
          <cell r="F90" t="str">
            <v>Pengetahuan</v>
          </cell>
          <cell r="G90" t="str">
            <v>Baik, sudah memahami seluruh kompetensi, terutama sangat baik dalam memahami makna mujahadah an-nafs. Terus berlatih agar lebih baik dalam kompetensi yang lain.</v>
          </cell>
        </row>
        <row r="91">
          <cell r="D91" t="str">
            <v>3559B</v>
          </cell>
          <cell r="F91" t="str">
            <v>Keterampilan</v>
          </cell>
          <cell r="G91" t="str">
            <v>Sudah terampil dalam hafalan sebagian besar surat-surat yang ditentukan, namun masih perlu banyak berlatih dalam hafalan Q.S.An-Nur(24):2.</v>
          </cell>
        </row>
        <row r="92">
          <cell r="D92" t="str">
            <v>3559C</v>
          </cell>
          <cell r="F92" t="str">
            <v>Sikap Spritual dan Sosial</v>
          </cell>
          <cell r="G92" t="str">
            <v>Sudah baik mengamalkan agama yang dianutnya,konsisten menunj ukkan  sikap jujur dan hormat kepada guru,namunkontrol dirinya perlu ditingkatkan.</v>
          </cell>
        </row>
        <row r="93">
          <cell r="D93" t="str">
            <v>3446A</v>
          </cell>
          <cell r="E93" t="str">
            <v>Riki Andriawan</v>
          </cell>
          <cell r="F93" t="str">
            <v>Pengetahuan</v>
          </cell>
          <cell r="G93" t="str">
            <v>Baik, sudah memahami seluruh kompetensi, terutama sangat baik dalam memahami makna mujahadah an-nafs. Terus berlatih agar lebih baik dalam kompetensi yang lain.</v>
          </cell>
        </row>
        <row r="94">
          <cell r="D94" t="str">
            <v>3446B</v>
          </cell>
          <cell r="F94" t="str">
            <v>Keterampilan</v>
          </cell>
          <cell r="G94" t="str">
            <v>Sudah terampil dalam hafalan sebagian besar surat-surat yang ditentukan, namun masih perlu banyak berlatih dalam hafalan Q.S.An-Nur(24):2.</v>
          </cell>
        </row>
        <row r="95">
          <cell r="D95" t="str">
            <v>3446C</v>
          </cell>
          <cell r="F95" t="str">
            <v>Sikap Spritual dan Sosial</v>
          </cell>
          <cell r="G95" t="str">
            <v>Sudah baik mengamalkan agama yang dianutnya,konsisten menunj ukkan  sikap jujur dan hormat kepada guru,namunkontrol dirinya perlu ditingkatkan.</v>
          </cell>
        </row>
        <row r="96">
          <cell r="D96" t="str">
            <v>3530A</v>
          </cell>
          <cell r="E96" t="str">
            <v>Sabila Devi Putra Utama</v>
          </cell>
          <cell r="F96" t="str">
            <v>Pengetahuan</v>
          </cell>
          <cell r="G96" t="str">
            <v>Baik, sudah memahami seluruh kompetensi, terutama sangat baik dalam memahami makna mujahadah an-nafs. Terus berlatih agar lebih baik dalam kompetensi yang lain.</v>
          </cell>
        </row>
        <row r="97">
          <cell r="D97" t="str">
            <v>3530B</v>
          </cell>
          <cell r="F97" t="str">
            <v>Keterampilan</v>
          </cell>
          <cell r="G97" t="str">
            <v>Sudah terampil dalam hafalan sebagian besar surat-surat yang ditentukan, namun masih perlu banyak berlatih dalam hafalan Q.S.An-Nur(24):2.</v>
          </cell>
        </row>
        <row r="98">
          <cell r="D98" t="str">
            <v>3530C</v>
          </cell>
          <cell r="F98" t="str">
            <v>Sikap Spritual dan Sosial</v>
          </cell>
          <cell r="G98" t="str">
            <v>Sudah baik mengamalkan agama yang dianutnya,konsisten menunj ukkan  sikap jujur dan hormat kepada guru,namunkontrol dirinya perlu ditingkatkan.</v>
          </cell>
        </row>
        <row r="99">
          <cell r="D99" t="str">
            <v>3307A</v>
          </cell>
          <cell r="E99" t="str">
            <v>Sari Yusira</v>
          </cell>
          <cell r="F99" t="str">
            <v>Pengetahuan</v>
          </cell>
          <cell r="G99" t="str">
            <v>Baik, sudah memahami seluruh kompetensi, terutama sangat baik dalam memahami makna mujahadah an-nafs. Terus berlatih agar lebih baik dalam kompetensi yang lain.</v>
          </cell>
        </row>
        <row r="100">
          <cell r="D100" t="str">
            <v>3307B</v>
          </cell>
          <cell r="F100" t="str">
            <v>Keterampilan</v>
          </cell>
          <cell r="G100" t="str">
            <v>Sudah terampil dalam hafalan sebagian besar surat-surat yang ditentukan, namun masih perlu banyak berlatih dalam hafalan Q.S.An-Nur(24):2.</v>
          </cell>
        </row>
        <row r="101">
          <cell r="D101" t="str">
            <v>3307C</v>
          </cell>
          <cell r="F101" t="str">
            <v>Sikap Spritual dan Sosial</v>
          </cell>
          <cell r="G101" t="str">
            <v>Sudah baik mengamalkan agama yang dianutnya,konsisten menunj ukkan  sikap jujur dan hormat kepada guru,namunkontrol dirinya perlu ditingkatkan.</v>
          </cell>
        </row>
        <row r="102">
          <cell r="D102" t="str">
            <v>3447A</v>
          </cell>
          <cell r="E102" t="str">
            <v>Sepridawati</v>
          </cell>
          <cell r="F102" t="str">
            <v>Pengetahuan</v>
          </cell>
          <cell r="G102" t="str">
            <v>Baik, sudah memahami seluruh kompetensi, terutama sangat baik dalam memahami makna mujahadah an-nafs. Terus berlatih agar lebih baik dalam kompetensi yang lain.</v>
          </cell>
        </row>
        <row r="103">
          <cell r="D103" t="str">
            <v>3447B</v>
          </cell>
          <cell r="F103" t="str">
            <v>Keterampilan</v>
          </cell>
          <cell r="G103" t="str">
            <v>Sudah terampil dalam hafalan sebagian besar surat-surat yang ditentukan, namun masih perlu banyak berlatih dalam hafalan Q.S.An-Nur(24):2.</v>
          </cell>
        </row>
        <row r="104">
          <cell r="D104" t="str">
            <v>3447C</v>
          </cell>
          <cell r="F104" t="str">
            <v>Sikap Spritual dan Sosial</v>
          </cell>
          <cell r="G104" t="str">
            <v>Sudah baik mengamalkan agama yang dianutnya,konsisten menunj ukkan  sikap jujur dan hormat kepada guru,namunkontrol dirinya perlu ditingkatkan.</v>
          </cell>
        </row>
        <row r="105">
          <cell r="D105" t="str">
            <v>3485A</v>
          </cell>
          <cell r="E105" t="str">
            <v>Sirait Maretta Rhadia Puspita</v>
          </cell>
          <cell r="F105" t="str">
            <v>Pengetahuan</v>
          </cell>
          <cell r="G105" t="str">
            <v>Baik, sudah memahami seluruh kompetensi, terutama sangat baik dalam memahami makna mujahadah an-nafs. Terus berlatih agar lebih baik dalam kompetensi yang lain.</v>
          </cell>
        </row>
        <row r="106">
          <cell r="D106" t="str">
            <v>3485B</v>
          </cell>
          <cell r="F106" t="str">
            <v>Keterampilan</v>
          </cell>
          <cell r="G106" t="str">
            <v>Sudah terampil dalam hafalan sebagian besar surat-surat yang ditentukan, namun masih perlu banyak berlatih dalam hafalan Q.S.An-Nur(24):2.</v>
          </cell>
        </row>
        <row r="107">
          <cell r="D107" t="str">
            <v>3485C</v>
          </cell>
          <cell r="F107" t="str">
            <v>Sikap Spritual dan Sosial</v>
          </cell>
          <cell r="G107" t="str">
            <v>Sudah baik mengamalkan agama yang dianutnya,konsisten menunj ukkan  sikap jujur dan hormat kepada guru,namunkontrol dirinya perlu ditingkatkan.</v>
          </cell>
        </row>
        <row r="108">
          <cell r="D108" t="str">
            <v>3631A</v>
          </cell>
          <cell r="E108" t="str">
            <v>Sri Rahmadani</v>
          </cell>
          <cell r="F108" t="str">
            <v>Pengetahuan</v>
          </cell>
          <cell r="G108" t="str">
            <v>Baik, sudah memahami seluruh kompetensi, terutama sangat baik dalam memahami makna mujahadah an-nafs. Terus berlatih agar lebih baik dalam kompetensi yang lain.</v>
          </cell>
        </row>
        <row r="109">
          <cell r="D109" t="str">
            <v>3631B</v>
          </cell>
          <cell r="F109" t="str">
            <v>Keterampilan</v>
          </cell>
          <cell r="G109" t="str">
            <v>Sudah terampil dalam hafalan sebagian besar surat-surat yang ditentukan, namun masih perlu banyak berlatih dalam hafalan Q.S.An-Nur(24):2.</v>
          </cell>
        </row>
        <row r="110">
          <cell r="D110" t="str">
            <v>3631C</v>
          </cell>
          <cell r="F110" t="str">
            <v>Sikap Spritual dan Sosial</v>
          </cell>
          <cell r="G110" t="str">
            <v>Sudah baik mengamalkan agama yang dianutnya,konsisten menunj ukkan  sikap jujur dan hormat kepada guru,namunkontrol dirinya perlu ditingkatkan.</v>
          </cell>
        </row>
        <row r="111">
          <cell r="D111" t="str">
            <v>3607A</v>
          </cell>
          <cell r="E111" t="str">
            <v>Syahrul Rahmadani</v>
          </cell>
          <cell r="F111" t="str">
            <v>Pengetahuan</v>
          </cell>
          <cell r="G111" t="str">
            <v>Baik, sudah memahami seluruh kompetensi, terutama sangat baik dalam memahami makna mujahadah an-nafs. Terus berlatih agar lebih baik dalam kompetensi yang lain.</v>
          </cell>
        </row>
        <row r="112">
          <cell r="D112" t="str">
            <v>3607B</v>
          </cell>
          <cell r="F112" t="str">
            <v>Keterampilan</v>
          </cell>
          <cell r="G112" t="str">
            <v>Sudah terampil dalam hafalan sebagian besar surat-surat yang ditentukan, namun masih perlu banyak berlatih dalam hafalan Q.S.An-Nur(24):2.</v>
          </cell>
        </row>
        <row r="113">
          <cell r="D113" t="str">
            <v>3607C</v>
          </cell>
          <cell r="F113" t="str">
            <v>Sikap Spritual dan Sosial</v>
          </cell>
          <cell r="G113" t="str">
            <v>Sudah baik mengamalkan agama yang dianutnya,konsisten menunj ukkan  sikap jujur dan hormat kepada guru,namunkontrol dirinya perlu ditingkatkan.</v>
          </cell>
        </row>
        <row r="114">
          <cell r="D114" t="str">
            <v>3451A</v>
          </cell>
          <cell r="E114" t="str">
            <v>Widya Astuti</v>
          </cell>
          <cell r="F114" t="str">
            <v>Pengetahuan</v>
          </cell>
          <cell r="G114" t="str">
            <v>Baik, sudah memahami seluruh kompetensi, terutama sangat baik dalam memahami makna mujahadah an-nafs. Terus berlatih agar lebih baik dalam kompetensi yang lain.</v>
          </cell>
        </row>
        <row r="115">
          <cell r="D115" t="str">
            <v>3451B</v>
          </cell>
          <cell r="F115" t="str">
            <v>Keterampilan</v>
          </cell>
          <cell r="G115" t="str">
            <v>Sudah terampil dalam hafalan sebagian besar surat-surat yang ditentukan, namun masih perlu banyak berlatih dalam hafalan Q.S.An-Nur(24):2.</v>
          </cell>
        </row>
        <row r="116">
          <cell r="D116" t="str">
            <v>3451C</v>
          </cell>
          <cell r="F116" t="str">
            <v>Sikap Spritual dan Sosial</v>
          </cell>
          <cell r="G116" t="str">
            <v>Sudah baik mengamalkan agama yang dianutnya,konsisten menunj ukkan  sikap jujur dan hormat kepada guru,namunkontrol dirinya perlu ditingkatkan.</v>
          </cell>
        </row>
        <row r="117">
          <cell r="D117" t="str">
            <v>3569A</v>
          </cell>
          <cell r="E117" t="str">
            <v>Utami Dewi Sampurna</v>
          </cell>
          <cell r="F117" t="str">
            <v>Pengetahuan</v>
          </cell>
          <cell r="G117" t="str">
            <v>Baik, sudah memahami seluruh kompetensi, terutama sangat baik dalam memahami makna mujahadah an-nafs. Terus berlatih agar lebih baik dalam kompetensi yang lain.</v>
          </cell>
        </row>
        <row r="118">
          <cell r="D118" t="str">
            <v>3569B</v>
          </cell>
          <cell r="F118" t="str">
            <v>Keterampilan</v>
          </cell>
          <cell r="G118" t="str">
            <v>Sudah terampil dalam hafalan sebagian besar surat-surat yang ditentukan, namun masih perlu banyak berlatih dalam hafalan Q.S.An-Nur(24):2.</v>
          </cell>
        </row>
        <row r="119">
          <cell r="D119" t="str">
            <v>3569C</v>
          </cell>
          <cell r="F119" t="str">
            <v>Sikap Spritual dan Sosial</v>
          </cell>
          <cell r="G119" t="str">
            <v>Sudah baik mengamalkan agama yang dianutnya,konsisten menunj ukkan  sikap jujur dan hormat kepada guru,namunkontrol dirinya perlu ditingkatkan.</v>
          </cell>
        </row>
        <row r="120">
          <cell r="D120" t="str">
            <v>3572A</v>
          </cell>
          <cell r="E120" t="str">
            <v>Yudha Dwi Ananda</v>
          </cell>
          <cell r="F120" t="str">
            <v>Pengetahuan</v>
          </cell>
          <cell r="G120" t="str">
            <v>Baik, sudah memahami seluruh kompetensi, terutama sangat baik dalam memahami makna mujahadah an-nafs. Terus berlatih agar lebih baik dalam kompetensi yang lain.</v>
          </cell>
        </row>
        <row r="121">
          <cell r="D121" t="str">
            <v>3572B</v>
          </cell>
          <cell r="F121" t="str">
            <v>Keterampilan</v>
          </cell>
          <cell r="G121" t="str">
            <v>Sudah terampil dalam hafalan sebagian besar surat-surat yang ditentukan, namun masih perlu banyak berlatih dalam hafalan Q.S.An-Nur(24):2.</v>
          </cell>
        </row>
        <row r="122">
          <cell r="D122" t="str">
            <v>3572C</v>
          </cell>
          <cell r="F122" t="str">
            <v>Sikap Spritual dan Sosial</v>
          </cell>
          <cell r="G122" t="str">
            <v>Sudah baik mengamalkan agama yang dianutnya,konsisten menunj ukkan  sikap jujur dan hormat kepada guru,namunkontrol dirinya perlu ditingkatkan.</v>
          </cell>
        </row>
        <row r="123">
          <cell r="D123" t="str">
            <v>3489A</v>
          </cell>
          <cell r="E123" t="str">
            <v>Yunita Widi</v>
          </cell>
          <cell r="F123" t="str">
            <v>Pengetahuan</v>
          </cell>
          <cell r="G123" t="str">
            <v>Baik, sudah memahami seluruh kompetensi, terutama sangat baik dalam memahami makna mujahadah an-nafs. Terus berlatih agar lebih baik dalam kompetensi yang lain.</v>
          </cell>
        </row>
        <row r="124">
          <cell r="D124" t="str">
            <v>3489B</v>
          </cell>
          <cell r="F124" t="str">
            <v>Keterampilan</v>
          </cell>
          <cell r="G124" t="str">
            <v>Sudah terampil dalam hafalan sebagian besar surat-surat yang ditentukan, namun masih perlu banyak berlatih dalam hafalan Q.S.An-Nur(24):2.</v>
          </cell>
        </row>
        <row r="125">
          <cell r="D125" t="str">
            <v>3489C</v>
          </cell>
          <cell r="F125" t="str">
            <v>Sikap Spritual dan Sosial</v>
          </cell>
          <cell r="G125" t="str">
            <v>Sudah baik mengamalkan agama yang dianutnya,konsisten menunj ukkan  sikap jujur dan hormat kepada guru,namunkontrol dirinya perlu ditingkatkan.</v>
          </cell>
        </row>
        <row r="126">
          <cell r="D126" t="str">
            <v>3490A</v>
          </cell>
          <cell r="E126" t="str">
            <v>SI DIA</v>
          </cell>
          <cell r="F126" t="str">
            <v>Pengetahuan</v>
          </cell>
          <cell r="G126" t="str">
            <v>Baik, sudah memahami seluruh kompetensi, terutama sangat baik dalam memahami makna mujahadah an-nafs. Terus berlatih agar lebih baik dalam kompetensi yang lain.</v>
          </cell>
        </row>
        <row r="127">
          <cell r="D127" t="str">
            <v>3490B</v>
          </cell>
          <cell r="F127" t="str">
            <v>Keterampilan</v>
          </cell>
          <cell r="G127" t="str">
            <v>Sudah terampil dalam hafalan sebagian besar surat-surat yang ditentukan, namun masih perlu banyak berlatih dalam hafalan Q.S.An-Nur(24):2.</v>
          </cell>
        </row>
        <row r="128">
          <cell r="D128" t="str">
            <v>3490C</v>
          </cell>
          <cell r="F128" t="str">
            <v>Sikap Spritual dan Sosial</v>
          </cell>
          <cell r="G128" t="str">
            <v>Sudah baik mengamalkan agama yang dianutnya,konsisten menunj ukkan  sikap jujur dan hormat kepada guru,namunkontrol dirinya perlu ditingkatkan.</v>
          </cell>
        </row>
        <row r="129">
          <cell r="D129" t="str">
            <v>3491A</v>
          </cell>
          <cell r="E129" t="str">
            <v>x</v>
          </cell>
          <cell r="F129" t="str">
            <v>Pengetahuan</v>
          </cell>
          <cell r="G129" t="str">
            <v>Baik, sudah memahami seluruh kompetensi, terutama sangat baik dalam memahami makna mujahadah an-nafs. Terus berlatih agar lebih baik dalam kompetensi yang lain.</v>
          </cell>
        </row>
        <row r="130">
          <cell r="D130" t="str">
            <v>3491B</v>
          </cell>
          <cell r="F130" t="str">
            <v>Keterampilan</v>
          </cell>
          <cell r="G130" t="str">
            <v>Sudah terampil dalam hafalan sebagian besar surat-surat yang ditentukan, namun masih perlu banyak berlatih dalam hafalan Q.S.An-Nur(24):2.</v>
          </cell>
        </row>
        <row r="131">
          <cell r="D131" t="str">
            <v>3491C</v>
          </cell>
          <cell r="F131" t="str">
            <v>Sikap Spritual dan Sosial</v>
          </cell>
          <cell r="G131" t="str">
            <v>Sudah baik mengamalkan agama yang dianutnya,konsisten menunj ukkan  sikap jujur dan hormat kepada guru,namunkontrol dirinya perlu ditingkatkan.</v>
          </cell>
        </row>
        <row r="132">
          <cell r="D132" t="str">
            <v>3492A</v>
          </cell>
          <cell r="E132" t="str">
            <v>x</v>
          </cell>
          <cell r="F132" t="str">
            <v>Pengetahuan</v>
          </cell>
          <cell r="G132" t="str">
            <v>Baik, sudah memahami seluruh kompetensi, terutama sangat baik dalam memahami makna mujahadah an-nafs. Terus berlatih agar lebih baik dalam kompetensi yang lain.</v>
          </cell>
        </row>
        <row r="133">
          <cell r="D133" t="str">
            <v>3492B</v>
          </cell>
          <cell r="F133" t="str">
            <v>Keterampilan</v>
          </cell>
          <cell r="G133" t="str">
            <v>Sudah terampil dalam hafalan sebagian besar surat-surat yang ditentukan, namun masih perlu banyak berlatih dalam hafalan Q.S.An-Nur(24):2.</v>
          </cell>
        </row>
        <row r="134">
          <cell r="D134" t="str">
            <v>3492C</v>
          </cell>
          <cell r="F134" t="str">
            <v>Sikap Spritual dan Sosial</v>
          </cell>
          <cell r="G134" t="str">
            <v>Sudah baik mengamalkan agama yang dianutnya,konsisten menunj ukkan  sikap jujur dan hormat kepada guru,namunkontrol dirinya perlu ditingkatkan.</v>
          </cell>
        </row>
      </sheetData>
      <sheetData sheetId="16"/>
      <sheetData sheetId="17"/>
      <sheetData sheetId="18"/>
      <sheetData sheetId="19"/>
      <sheetData sheetId="20"/>
      <sheetData sheetId="21"/>
      <sheetData sheetId="22">
        <row r="1">
          <cell r="A1" t="str">
            <v>BIODATA SISWA</v>
          </cell>
        </row>
        <row r="3">
          <cell r="A3" t="str">
            <v>Sekolah</v>
          </cell>
          <cell r="D3" t="str">
            <v>: SMAN 8 SAMARINDA</v>
          </cell>
        </row>
        <row r="4">
          <cell r="A4" t="str">
            <v>Kelas</v>
          </cell>
          <cell r="D4" t="str">
            <v>: X MIPA-2</v>
          </cell>
        </row>
        <row r="5">
          <cell r="A5" t="str">
            <v>Semester</v>
          </cell>
          <cell r="D5" t="str">
            <v>: Satu (1)</v>
          </cell>
        </row>
        <row r="6">
          <cell r="A6" t="str">
            <v xml:space="preserve">Tahun Pelajaran </v>
          </cell>
          <cell r="D6" t="str">
            <v>: 2013/2014</v>
          </cell>
        </row>
        <row r="8">
          <cell r="A8" t="str">
            <v>NO</v>
          </cell>
          <cell r="B8" t="str">
            <v>NIS</v>
          </cell>
          <cell r="C8" t="str">
            <v>NISN</v>
          </cell>
          <cell r="D8" t="str">
            <v>NAMA</v>
          </cell>
          <cell r="E8" t="str">
            <v>KETERANGAN</v>
          </cell>
        </row>
        <row r="10">
          <cell r="A10">
            <v>1</v>
          </cell>
          <cell r="B10">
            <v>3534</v>
          </cell>
          <cell r="C10" t="str">
            <v>35341</v>
          </cell>
          <cell r="D10" t="str">
            <v>Achmad Albert</v>
          </cell>
          <cell r="E10" t="str">
            <v>x</v>
          </cell>
        </row>
        <row r="11">
          <cell r="A11">
            <v>2</v>
          </cell>
          <cell r="B11">
            <v>3496</v>
          </cell>
          <cell r="C11" t="str">
            <v>34961</v>
          </cell>
          <cell r="D11" t="str">
            <v>Agustin WR Putri</v>
          </cell>
          <cell r="E11" t="str">
            <v>x</v>
          </cell>
        </row>
        <row r="12">
          <cell r="A12">
            <v>3</v>
          </cell>
          <cell r="B12">
            <v>3415</v>
          </cell>
          <cell r="C12" t="str">
            <v>34151</v>
          </cell>
          <cell r="D12" t="str">
            <v>Andi Tri Saputra</v>
          </cell>
          <cell r="E12" t="str">
            <v>x</v>
          </cell>
        </row>
        <row r="13">
          <cell r="A13">
            <v>4</v>
          </cell>
          <cell r="B13">
            <v>3458</v>
          </cell>
          <cell r="C13" t="str">
            <v>34581</v>
          </cell>
          <cell r="D13" t="str">
            <v>Arum Pramusinta</v>
          </cell>
          <cell r="E13" t="str">
            <v>x</v>
          </cell>
        </row>
        <row r="14">
          <cell r="A14">
            <v>5</v>
          </cell>
          <cell r="B14">
            <v>3579</v>
          </cell>
          <cell r="C14" t="str">
            <v>35791</v>
          </cell>
          <cell r="D14" t="str">
            <v>Ayu Ambarwati</v>
          </cell>
          <cell r="E14" t="str">
            <v>x</v>
          </cell>
        </row>
        <row r="15">
          <cell r="A15">
            <v>6</v>
          </cell>
          <cell r="B15">
            <v>3539</v>
          </cell>
          <cell r="C15" t="str">
            <v>35391</v>
          </cell>
          <cell r="D15" t="str">
            <v>Ayu Khinanti Hardiko</v>
          </cell>
          <cell r="E15" t="str">
            <v>x</v>
          </cell>
        </row>
        <row r="16">
          <cell r="A16">
            <v>7</v>
          </cell>
          <cell r="B16">
            <v>3419</v>
          </cell>
          <cell r="C16" t="str">
            <v>34191</v>
          </cell>
          <cell r="D16" t="str">
            <v>Dessy Ariani</v>
          </cell>
          <cell r="E16" t="str">
            <v>x</v>
          </cell>
        </row>
        <row r="17">
          <cell r="A17">
            <v>8</v>
          </cell>
          <cell r="B17">
            <v>3635</v>
          </cell>
          <cell r="C17" t="str">
            <v>36351</v>
          </cell>
          <cell r="D17" t="str">
            <v>Dian Tri Santi Utami</v>
          </cell>
          <cell r="E17" t="str">
            <v>x</v>
          </cell>
        </row>
        <row r="18">
          <cell r="A18">
            <v>9</v>
          </cell>
          <cell r="B18">
            <v>3426</v>
          </cell>
          <cell r="C18" t="str">
            <v>34261</v>
          </cell>
          <cell r="D18" t="str">
            <v>Fane Amalia Tambayong</v>
          </cell>
          <cell r="E18" t="str">
            <v>x</v>
          </cell>
        </row>
        <row r="19">
          <cell r="A19">
            <v>10</v>
          </cell>
          <cell r="B19">
            <v>3505</v>
          </cell>
          <cell r="C19" t="str">
            <v>35051</v>
          </cell>
          <cell r="D19" t="str">
            <v>Ferdi Hadi Wijaya</v>
          </cell>
          <cell r="E19" t="str">
            <v>x</v>
          </cell>
        </row>
        <row r="20">
          <cell r="A20">
            <v>11</v>
          </cell>
          <cell r="B20">
            <v>3464</v>
          </cell>
          <cell r="C20" t="str">
            <v>34641</v>
          </cell>
          <cell r="D20" t="str">
            <v>Fernando Panjaitan</v>
          </cell>
          <cell r="E20" t="str">
            <v>x</v>
          </cell>
        </row>
        <row r="21">
          <cell r="A21">
            <v>12</v>
          </cell>
          <cell r="B21">
            <v>3466</v>
          </cell>
          <cell r="C21" t="str">
            <v>34661</v>
          </cell>
          <cell r="D21" t="str">
            <v>Fika Reinifa Astari</v>
          </cell>
          <cell r="E21" t="str">
            <v>x</v>
          </cell>
        </row>
        <row r="22">
          <cell r="A22">
            <v>13</v>
          </cell>
          <cell r="B22">
            <v>3545</v>
          </cell>
          <cell r="C22" t="str">
            <v>35451</v>
          </cell>
          <cell r="D22" t="str">
            <v>Firman Tendrian Tindri</v>
          </cell>
          <cell r="E22" t="str">
            <v>x</v>
          </cell>
        </row>
        <row r="23">
          <cell r="A23">
            <v>14</v>
          </cell>
          <cell r="B23">
            <v>3512</v>
          </cell>
          <cell r="C23" t="str">
            <v>35121</v>
          </cell>
          <cell r="D23" t="str">
            <v>Husnul Khotimah</v>
          </cell>
          <cell r="E23" t="str">
            <v>x</v>
          </cell>
        </row>
        <row r="24">
          <cell r="A24">
            <v>15</v>
          </cell>
          <cell r="B24">
            <v>3548</v>
          </cell>
          <cell r="C24" t="str">
            <v>35481</v>
          </cell>
          <cell r="D24" t="str">
            <v>Irdawati</v>
          </cell>
          <cell r="E24" t="str">
            <v>x</v>
          </cell>
        </row>
        <row r="25">
          <cell r="A25">
            <v>16</v>
          </cell>
          <cell r="B25">
            <v>3472</v>
          </cell>
          <cell r="C25" t="str">
            <v>34721</v>
          </cell>
          <cell r="D25" t="str">
            <v>Irma Ardini</v>
          </cell>
          <cell r="E25" t="str">
            <v>x</v>
          </cell>
        </row>
        <row r="26">
          <cell r="A26">
            <v>17</v>
          </cell>
          <cell r="B26">
            <v>3551</v>
          </cell>
          <cell r="C26" t="str">
            <v>35511</v>
          </cell>
          <cell r="D26" t="str">
            <v>Ladies Latifah</v>
          </cell>
          <cell r="E26" t="str">
            <v>x</v>
          </cell>
        </row>
        <row r="27">
          <cell r="A27">
            <v>18</v>
          </cell>
          <cell r="B27">
            <v>3433</v>
          </cell>
          <cell r="C27" t="str">
            <v>34331</v>
          </cell>
          <cell r="D27" t="str">
            <v>Mahmuddin Bashar</v>
          </cell>
          <cell r="E27" t="str">
            <v>x</v>
          </cell>
        </row>
        <row r="28">
          <cell r="A28">
            <v>19</v>
          </cell>
          <cell r="B28">
            <v>3434</v>
          </cell>
          <cell r="C28" t="str">
            <v>34341</v>
          </cell>
          <cell r="D28" t="str">
            <v>Meilan Novita Sari</v>
          </cell>
          <cell r="E28" t="str">
            <v>x</v>
          </cell>
        </row>
        <row r="29">
          <cell r="A29">
            <v>20</v>
          </cell>
          <cell r="B29">
            <v>3594</v>
          </cell>
          <cell r="C29" t="str">
            <v>35941</v>
          </cell>
          <cell r="D29" t="str">
            <v>Meirisa Indah Pratiwi</v>
          </cell>
          <cell r="E29" t="str">
            <v>x</v>
          </cell>
        </row>
        <row r="30">
          <cell r="A30">
            <v>21</v>
          </cell>
          <cell r="B30">
            <v>3437</v>
          </cell>
          <cell r="C30" t="str">
            <v>34371</v>
          </cell>
          <cell r="D30" t="str">
            <v>Mina Fitriah</v>
          </cell>
          <cell r="E30" t="str">
            <v>x</v>
          </cell>
        </row>
        <row r="31">
          <cell r="A31">
            <v>22</v>
          </cell>
          <cell r="B31">
            <v>3426</v>
          </cell>
          <cell r="C31" t="str">
            <v>34261</v>
          </cell>
          <cell r="D31" t="str">
            <v>Mifta Churohma</v>
          </cell>
          <cell r="E31" t="str">
            <v>x</v>
          </cell>
        </row>
        <row r="32">
          <cell r="A32">
            <v>23</v>
          </cell>
          <cell r="B32">
            <v>3476</v>
          </cell>
          <cell r="C32" t="str">
            <v>34761</v>
          </cell>
          <cell r="D32" t="str">
            <v>Naten Dimas AS</v>
          </cell>
          <cell r="E32" t="str">
            <v>x</v>
          </cell>
        </row>
        <row r="33">
          <cell r="A33">
            <v>24</v>
          </cell>
          <cell r="B33">
            <v>3523</v>
          </cell>
          <cell r="C33" t="str">
            <v>35231</v>
          </cell>
          <cell r="D33" t="str">
            <v>Nur Fitria</v>
          </cell>
          <cell r="E33" t="str">
            <v>x</v>
          </cell>
        </row>
        <row r="34">
          <cell r="A34">
            <v>25</v>
          </cell>
          <cell r="B34">
            <v>3634</v>
          </cell>
          <cell r="C34" t="str">
            <v>36341</v>
          </cell>
          <cell r="D34" t="str">
            <v>Nova Rosida</v>
          </cell>
          <cell r="E34" t="str">
            <v>x</v>
          </cell>
        </row>
        <row r="35">
          <cell r="A35">
            <v>26</v>
          </cell>
          <cell r="B35">
            <v>3441</v>
          </cell>
          <cell r="C35" t="str">
            <v>34411</v>
          </cell>
          <cell r="D35" t="str">
            <v>Novialesty Muslimah</v>
          </cell>
          <cell r="E35" t="str">
            <v>x</v>
          </cell>
        </row>
        <row r="36">
          <cell r="A36">
            <v>27</v>
          </cell>
          <cell r="B36">
            <v>3601</v>
          </cell>
          <cell r="C36" t="str">
            <v>36011</v>
          </cell>
          <cell r="D36" t="str">
            <v>Pahrur Rozi</v>
          </cell>
          <cell r="E36" t="str">
            <v>x</v>
          </cell>
        </row>
        <row r="37">
          <cell r="A37">
            <v>28</v>
          </cell>
          <cell r="B37">
            <v>3559</v>
          </cell>
          <cell r="C37" t="str">
            <v>35591</v>
          </cell>
          <cell r="D37" t="str">
            <v>Putri Andriani</v>
          </cell>
          <cell r="E37" t="str">
            <v>x</v>
          </cell>
        </row>
        <row r="38">
          <cell r="A38">
            <v>29</v>
          </cell>
          <cell r="B38">
            <v>3446</v>
          </cell>
          <cell r="C38" t="str">
            <v>34461</v>
          </cell>
          <cell r="D38" t="str">
            <v>Riki Andriawan</v>
          </cell>
          <cell r="E38" t="str">
            <v>x</v>
          </cell>
        </row>
        <row r="39">
          <cell r="A39">
            <v>30</v>
          </cell>
          <cell r="B39">
            <v>3530</v>
          </cell>
          <cell r="C39" t="str">
            <v>35301</v>
          </cell>
          <cell r="D39" t="str">
            <v>Sabila Devi Putra Utama</v>
          </cell>
          <cell r="E39" t="str">
            <v>x</v>
          </cell>
        </row>
        <row r="40">
          <cell r="A40">
            <v>31</v>
          </cell>
          <cell r="B40">
            <v>3307</v>
          </cell>
          <cell r="C40" t="str">
            <v>33071</v>
          </cell>
          <cell r="D40" t="str">
            <v>Sari Yusira</v>
          </cell>
          <cell r="E40" t="str">
            <v>x</v>
          </cell>
        </row>
        <row r="41">
          <cell r="A41">
            <v>32</v>
          </cell>
          <cell r="B41">
            <v>3447</v>
          </cell>
          <cell r="C41" t="str">
            <v>34471</v>
          </cell>
          <cell r="D41" t="str">
            <v>Sepridawati</v>
          </cell>
          <cell r="E41" t="str">
            <v>x</v>
          </cell>
        </row>
        <row r="42">
          <cell r="A42">
            <v>33</v>
          </cell>
          <cell r="B42">
            <v>3485</v>
          </cell>
          <cell r="C42" t="str">
            <v>34851</v>
          </cell>
          <cell r="D42" t="str">
            <v>Sirait Maretta Rhadia Puspita</v>
          </cell>
          <cell r="E42" t="str">
            <v>x</v>
          </cell>
        </row>
        <row r="43">
          <cell r="A43">
            <v>34</v>
          </cell>
          <cell r="B43">
            <v>3631</v>
          </cell>
          <cell r="C43" t="str">
            <v>36311</v>
          </cell>
          <cell r="D43" t="str">
            <v>Sri Rahmadani</v>
          </cell>
          <cell r="E43" t="str">
            <v>x</v>
          </cell>
        </row>
        <row r="44">
          <cell r="A44">
            <v>35</v>
          </cell>
          <cell r="B44">
            <v>3607</v>
          </cell>
          <cell r="C44" t="str">
            <v>36071</v>
          </cell>
          <cell r="D44" t="str">
            <v>Syahrul Rahmadani</v>
          </cell>
          <cell r="E44" t="str">
            <v>x</v>
          </cell>
        </row>
        <row r="45">
          <cell r="A45">
            <v>36</v>
          </cell>
          <cell r="B45">
            <v>3451</v>
          </cell>
          <cell r="C45" t="str">
            <v>34511</v>
          </cell>
          <cell r="D45" t="str">
            <v>Widya Astuti</v>
          </cell>
          <cell r="E45" t="str">
            <v>x</v>
          </cell>
        </row>
        <row r="46">
          <cell r="A46">
            <v>37</v>
          </cell>
          <cell r="B46">
            <v>3569</v>
          </cell>
          <cell r="C46" t="str">
            <v>35691</v>
          </cell>
          <cell r="D46" t="str">
            <v>Utami Dewi Sampurna</v>
          </cell>
          <cell r="E46" t="str">
            <v>x</v>
          </cell>
        </row>
        <row r="47">
          <cell r="A47">
            <v>38</v>
          </cell>
          <cell r="B47">
            <v>3572</v>
          </cell>
          <cell r="C47" t="str">
            <v>35721</v>
          </cell>
          <cell r="D47" t="str">
            <v>Yudha Dwi Ananda</v>
          </cell>
          <cell r="E47" t="str">
            <v>x</v>
          </cell>
        </row>
        <row r="48">
          <cell r="A48">
            <v>39</v>
          </cell>
          <cell r="B48">
            <v>3489</v>
          </cell>
          <cell r="C48" t="str">
            <v>34891</v>
          </cell>
          <cell r="D48" t="str">
            <v>Yunita Widi</v>
          </cell>
          <cell r="E48" t="str">
            <v>x</v>
          </cell>
        </row>
        <row r="49">
          <cell r="A49">
            <v>40</v>
          </cell>
          <cell r="B49">
            <v>3490</v>
          </cell>
          <cell r="C49" t="str">
            <v>34901</v>
          </cell>
          <cell r="D49" t="str">
            <v>SI DIA</v>
          </cell>
          <cell r="E49" t="str">
            <v>x</v>
          </cell>
        </row>
        <row r="50">
          <cell r="A50">
            <v>41</v>
          </cell>
          <cell r="B50">
            <v>3491</v>
          </cell>
          <cell r="C50" t="str">
            <v>34911</v>
          </cell>
          <cell r="D50" t="str">
            <v>x</v>
          </cell>
          <cell r="E50" t="str">
            <v>x</v>
          </cell>
        </row>
        <row r="51">
          <cell r="A51">
            <v>42</v>
          </cell>
          <cell r="B51">
            <v>3492</v>
          </cell>
          <cell r="C51" t="str">
            <v>34921</v>
          </cell>
          <cell r="D51" t="str">
            <v>x</v>
          </cell>
          <cell r="E51" t="str">
            <v>x</v>
          </cell>
        </row>
        <row r="54">
          <cell r="A54" t="str">
            <v>Mengetahui</v>
          </cell>
          <cell r="E54" t="str">
            <v>Samarinda, 31 Desember 2013</v>
          </cell>
        </row>
        <row r="55">
          <cell r="A55" t="str">
            <v>Kepala Sekolah,</v>
          </cell>
          <cell r="E55" t="str">
            <v>Wali Kelas,</v>
          </cell>
        </row>
        <row r="58">
          <cell r="A58" t="str">
            <v>Fathur Rachim, S.Kom, M.Pd</v>
          </cell>
          <cell r="E58" t="str">
            <v>Syaidah, S.Pd</v>
          </cell>
        </row>
        <row r="59">
          <cell r="A59" t="str">
            <v>NIP. 19771130 201001 1 005</v>
          </cell>
          <cell r="E59" t="str">
            <v>NIP. 19680401 199412 2 001</v>
          </cell>
        </row>
      </sheetData>
      <sheetData sheetId="23">
        <row r="1">
          <cell r="A1" t="str">
            <v>BIODATA GURU</v>
          </cell>
        </row>
        <row r="3">
          <cell r="A3" t="str">
            <v>Sekolah</v>
          </cell>
          <cell r="C3" t="str">
            <v>: SMAN 8 SAMARINDA</v>
          </cell>
        </row>
        <row r="4">
          <cell r="A4" t="str">
            <v>Kelas</v>
          </cell>
          <cell r="C4" t="str">
            <v>: X MIPA-2</v>
          </cell>
        </row>
        <row r="5">
          <cell r="A5" t="str">
            <v>Semester</v>
          </cell>
          <cell r="C5" t="str">
            <v>: Satu (1)</v>
          </cell>
        </row>
        <row r="6">
          <cell r="A6" t="str">
            <v xml:space="preserve">Tahun Pelajaran </v>
          </cell>
          <cell r="C6" t="str">
            <v>: 2013/2014</v>
          </cell>
        </row>
        <row r="8">
          <cell r="A8" t="str">
            <v>NO</v>
          </cell>
          <cell r="B8" t="str">
            <v>NIP</v>
          </cell>
          <cell r="C8" t="str">
            <v>NAMA</v>
          </cell>
          <cell r="D8" t="str">
            <v>KETERANGAN</v>
          </cell>
        </row>
        <row r="10">
          <cell r="A10">
            <v>1</v>
          </cell>
          <cell r="B10">
            <v>3534</v>
          </cell>
          <cell r="C10" t="str">
            <v>Fathur Rachim, S.Kom, M.Pd_1</v>
          </cell>
          <cell r="D10" t="str">
            <v>x</v>
          </cell>
        </row>
        <row r="11">
          <cell r="A11">
            <v>2</v>
          </cell>
          <cell r="B11">
            <v>3496</v>
          </cell>
          <cell r="C11" t="str">
            <v>Fathur Rachim, S.Kom, M.Pd_2</v>
          </cell>
          <cell r="D11" t="str">
            <v>x</v>
          </cell>
        </row>
        <row r="12">
          <cell r="A12">
            <v>3</v>
          </cell>
          <cell r="B12">
            <v>3415</v>
          </cell>
          <cell r="C12" t="str">
            <v>Fathur Rachim, S.Kom, M.Pd_3</v>
          </cell>
          <cell r="D12" t="str">
            <v>x</v>
          </cell>
        </row>
        <row r="13">
          <cell r="A13">
            <v>4</v>
          </cell>
          <cell r="B13">
            <v>3458</v>
          </cell>
          <cell r="C13" t="str">
            <v>Fathur Rachim, S.Kom, M.Pd_4</v>
          </cell>
          <cell r="D13" t="str">
            <v>x</v>
          </cell>
        </row>
        <row r="14">
          <cell r="A14">
            <v>5</v>
          </cell>
          <cell r="B14">
            <v>3579</v>
          </cell>
          <cell r="C14" t="str">
            <v>Fathur Rachim, S.Kom, M.Pd_5</v>
          </cell>
          <cell r="D14" t="str">
            <v>x</v>
          </cell>
        </row>
        <row r="15">
          <cell r="A15">
            <v>6</v>
          </cell>
          <cell r="B15">
            <v>3539</v>
          </cell>
          <cell r="C15" t="str">
            <v>Fathur Rachim, S.Kom, M.Pd_6</v>
          </cell>
          <cell r="D15" t="str">
            <v>x</v>
          </cell>
        </row>
        <row r="16">
          <cell r="A16">
            <v>7</v>
          </cell>
          <cell r="B16">
            <v>3419</v>
          </cell>
          <cell r="C16" t="str">
            <v>Fathur Rachim, S.Kom, M.Pd_7</v>
          </cell>
          <cell r="D16" t="str">
            <v>x</v>
          </cell>
        </row>
        <row r="17">
          <cell r="A17">
            <v>8</v>
          </cell>
          <cell r="B17">
            <v>3635</v>
          </cell>
          <cell r="C17" t="str">
            <v>Fathur Rachim, S.Kom, M.Pd_8</v>
          </cell>
          <cell r="D17" t="str">
            <v>x</v>
          </cell>
        </row>
        <row r="18">
          <cell r="A18">
            <v>9</v>
          </cell>
          <cell r="B18">
            <v>3426</v>
          </cell>
          <cell r="C18" t="str">
            <v>Fathur Rachim, S.Kom, M.Pd_9</v>
          </cell>
          <cell r="D18" t="str">
            <v>x</v>
          </cell>
        </row>
        <row r="19">
          <cell r="A19">
            <v>10</v>
          </cell>
          <cell r="B19">
            <v>3505</v>
          </cell>
          <cell r="C19" t="str">
            <v>Fathur Rachim, S.Kom, M.Pd_10</v>
          </cell>
          <cell r="D19" t="str">
            <v>x</v>
          </cell>
        </row>
        <row r="20">
          <cell r="A20">
            <v>11</v>
          </cell>
          <cell r="B20">
            <v>3464</v>
          </cell>
          <cell r="C20" t="str">
            <v>Fathur Rachim, S.Kom, M.Pd_11</v>
          </cell>
          <cell r="D20" t="str">
            <v>x</v>
          </cell>
        </row>
        <row r="21">
          <cell r="A21">
            <v>12</v>
          </cell>
          <cell r="B21">
            <v>3466</v>
          </cell>
          <cell r="C21" t="str">
            <v>Fathur Rachim, S.Kom, M.Pd_12</v>
          </cell>
          <cell r="D21" t="str">
            <v>x</v>
          </cell>
        </row>
        <row r="22">
          <cell r="A22">
            <v>13</v>
          </cell>
          <cell r="B22">
            <v>3545</v>
          </cell>
          <cell r="C22" t="str">
            <v>Fathur Rachim, S.Kom, M.Pd_13</v>
          </cell>
          <cell r="D22" t="str">
            <v>x</v>
          </cell>
        </row>
        <row r="23">
          <cell r="A23">
            <v>14</v>
          </cell>
          <cell r="B23">
            <v>3512</v>
          </cell>
          <cell r="C23" t="str">
            <v>Fathur Rachim, S.Kom, M.Pd_14</v>
          </cell>
          <cell r="D23" t="str">
            <v>x</v>
          </cell>
        </row>
        <row r="24">
          <cell r="A24">
            <v>15</v>
          </cell>
          <cell r="B24">
            <v>3548</v>
          </cell>
          <cell r="C24" t="str">
            <v>Fathur Rachim, S.Kom, M.Pd_15</v>
          </cell>
          <cell r="D24" t="str">
            <v>x</v>
          </cell>
        </row>
        <row r="25">
          <cell r="A25">
            <v>16</v>
          </cell>
          <cell r="B25">
            <v>3472</v>
          </cell>
          <cell r="C25" t="str">
            <v>Fathur Rachim, S.Kom, M.Pd_16</v>
          </cell>
          <cell r="D25" t="str">
            <v>x</v>
          </cell>
        </row>
        <row r="26">
          <cell r="A26">
            <v>17</v>
          </cell>
          <cell r="B26">
            <v>3551</v>
          </cell>
          <cell r="C26" t="str">
            <v>Fathur Rachim, S.Kom, M.Pd_17</v>
          </cell>
          <cell r="D26" t="str">
            <v>x</v>
          </cell>
        </row>
        <row r="27">
          <cell r="A27">
            <v>18</v>
          </cell>
          <cell r="B27">
            <v>3433</v>
          </cell>
          <cell r="C27" t="str">
            <v>Fathur Rachim, S.Kom, M.Pd_18</v>
          </cell>
          <cell r="D27" t="str">
            <v>x</v>
          </cell>
        </row>
        <row r="28">
          <cell r="A28">
            <v>19</v>
          </cell>
          <cell r="B28">
            <v>3434</v>
          </cell>
          <cell r="C28" t="str">
            <v>Fathur Rachim, S.Kom, M.Pd_19</v>
          </cell>
          <cell r="D28" t="str">
            <v>x</v>
          </cell>
        </row>
        <row r="29">
          <cell r="A29">
            <v>20</v>
          </cell>
          <cell r="B29">
            <v>3594</v>
          </cell>
          <cell r="C29" t="str">
            <v>Fathur Rachim, S.Kom, M.Pd_20</v>
          </cell>
          <cell r="D29" t="str">
            <v>x</v>
          </cell>
        </row>
        <row r="30">
          <cell r="A30">
            <v>21</v>
          </cell>
          <cell r="B30">
            <v>3437</v>
          </cell>
          <cell r="C30" t="str">
            <v>Fathur Rachim, S.Kom, M.Pd_21</v>
          </cell>
          <cell r="D30" t="str">
            <v>x</v>
          </cell>
        </row>
        <row r="31">
          <cell r="A31">
            <v>22</v>
          </cell>
          <cell r="B31">
            <v>3426</v>
          </cell>
          <cell r="C31" t="str">
            <v>Fathur Rachim, S.Kom, M.Pd_22</v>
          </cell>
          <cell r="D31" t="str">
            <v>x</v>
          </cell>
        </row>
        <row r="32">
          <cell r="A32">
            <v>23</v>
          </cell>
          <cell r="B32">
            <v>3476</v>
          </cell>
          <cell r="C32" t="str">
            <v>Fathur Rachim, S.Kom, M.Pd_23</v>
          </cell>
          <cell r="D32" t="str">
            <v>x</v>
          </cell>
        </row>
        <row r="33">
          <cell r="A33">
            <v>24</v>
          </cell>
          <cell r="B33">
            <v>3523</v>
          </cell>
          <cell r="C33" t="str">
            <v>Fathur Rachim, S.Kom, M.Pd_24</v>
          </cell>
          <cell r="D33" t="str">
            <v>x</v>
          </cell>
        </row>
        <row r="34">
          <cell r="A34">
            <v>25</v>
          </cell>
          <cell r="B34">
            <v>3634</v>
          </cell>
          <cell r="C34" t="str">
            <v>Fathur Rachim, S.Kom, M.Pd_25</v>
          </cell>
          <cell r="D34" t="str">
            <v>x</v>
          </cell>
        </row>
        <row r="35">
          <cell r="A35">
            <v>26</v>
          </cell>
          <cell r="B35">
            <v>3441</v>
          </cell>
          <cell r="C35" t="str">
            <v>Fathur Rachim, S.Kom, M.Pd_26</v>
          </cell>
          <cell r="D35" t="str">
            <v>x</v>
          </cell>
        </row>
        <row r="36">
          <cell r="A36">
            <v>27</v>
          </cell>
          <cell r="B36">
            <v>3601</v>
          </cell>
          <cell r="C36" t="str">
            <v>Fathur Rachim, S.Kom, M.Pd_27</v>
          </cell>
          <cell r="D36" t="str">
            <v>x</v>
          </cell>
        </row>
        <row r="37">
          <cell r="A37">
            <v>28</v>
          </cell>
          <cell r="B37">
            <v>3559</v>
          </cell>
          <cell r="C37" t="str">
            <v>Fathur Rachim, S.Kom, M.Pd_28</v>
          </cell>
          <cell r="D37" t="str">
            <v>x</v>
          </cell>
        </row>
        <row r="38">
          <cell r="A38">
            <v>29</v>
          </cell>
          <cell r="B38">
            <v>3446</v>
          </cell>
          <cell r="C38" t="str">
            <v>Fathur Rachim, S.Kom, M.Pd_29</v>
          </cell>
          <cell r="D38" t="str">
            <v>x</v>
          </cell>
        </row>
        <row r="39">
          <cell r="A39">
            <v>30</v>
          </cell>
          <cell r="B39">
            <v>3530</v>
          </cell>
          <cell r="C39" t="str">
            <v>Fathur Rachim, S.Kom, M.Pd_30</v>
          </cell>
          <cell r="D39" t="str">
            <v>x</v>
          </cell>
        </row>
        <row r="40">
          <cell r="A40">
            <v>31</v>
          </cell>
          <cell r="B40">
            <v>3307</v>
          </cell>
          <cell r="C40" t="str">
            <v>Fathur Rachim, S.Kom, M.Pd_31</v>
          </cell>
          <cell r="D40" t="str">
            <v>x</v>
          </cell>
        </row>
        <row r="41">
          <cell r="A41">
            <v>32</v>
          </cell>
          <cell r="B41">
            <v>3447</v>
          </cell>
          <cell r="C41" t="str">
            <v>Fathur Rachim, S.Kom, M.Pd_32</v>
          </cell>
          <cell r="D41" t="str">
            <v>x</v>
          </cell>
        </row>
        <row r="42">
          <cell r="A42">
            <v>33</v>
          </cell>
          <cell r="B42">
            <v>3485</v>
          </cell>
          <cell r="C42" t="str">
            <v>Fathur Rachim, S.Kom, M.Pd_33</v>
          </cell>
          <cell r="D42" t="str">
            <v>x</v>
          </cell>
        </row>
        <row r="43">
          <cell r="A43">
            <v>34</v>
          </cell>
          <cell r="B43">
            <v>3631</v>
          </cell>
          <cell r="C43" t="str">
            <v>Fathur Rachim, S.Kom, M.Pd_34</v>
          </cell>
          <cell r="D43" t="str">
            <v>x</v>
          </cell>
        </row>
        <row r="44">
          <cell r="A44">
            <v>35</v>
          </cell>
          <cell r="B44">
            <v>3607</v>
          </cell>
          <cell r="C44" t="str">
            <v>Fathur Rachim, S.Kom, M.Pd_35</v>
          </cell>
          <cell r="D44" t="str">
            <v>x</v>
          </cell>
        </row>
        <row r="45">
          <cell r="A45">
            <v>36</v>
          </cell>
          <cell r="B45">
            <v>3451</v>
          </cell>
          <cell r="C45" t="str">
            <v>Fathur Rachim, S.Kom, M.Pd_36</v>
          </cell>
          <cell r="D45" t="str">
            <v>x</v>
          </cell>
        </row>
        <row r="46">
          <cell r="A46">
            <v>37</v>
          </cell>
          <cell r="B46">
            <v>3569</v>
          </cell>
          <cell r="C46" t="str">
            <v>Fathur Rachim, S.Kom, M.Pd_37</v>
          </cell>
          <cell r="D46" t="str">
            <v>x</v>
          </cell>
        </row>
        <row r="47">
          <cell r="A47">
            <v>38</v>
          </cell>
          <cell r="B47">
            <v>3572</v>
          </cell>
          <cell r="C47" t="str">
            <v>Fathur Rachim, S.Kom, M.Pd_38</v>
          </cell>
          <cell r="D47" t="str">
            <v>x</v>
          </cell>
        </row>
        <row r="48">
          <cell r="A48">
            <v>39</v>
          </cell>
          <cell r="B48">
            <v>3489</v>
          </cell>
          <cell r="C48" t="str">
            <v>Fathur Rachim, S.Kom, M.Pd_39</v>
          </cell>
          <cell r="D48" t="str">
            <v>x</v>
          </cell>
        </row>
        <row r="49">
          <cell r="A49">
            <v>40</v>
          </cell>
          <cell r="B49">
            <v>3490</v>
          </cell>
          <cell r="C49" t="str">
            <v>Fathur Rachim, S.Kom, M.Pd_40</v>
          </cell>
          <cell r="D49" t="str">
            <v>x</v>
          </cell>
        </row>
        <row r="50">
          <cell r="A50">
            <v>41</v>
          </cell>
          <cell r="B50">
            <v>3491</v>
          </cell>
          <cell r="C50" t="str">
            <v>Fathur Rachim, S.Kom, M.Pd_41</v>
          </cell>
          <cell r="D50" t="str">
            <v>x</v>
          </cell>
        </row>
        <row r="51">
          <cell r="A51">
            <v>42</v>
          </cell>
          <cell r="B51">
            <v>3492</v>
          </cell>
          <cell r="C51" t="str">
            <v>Fathur Rachim, S.Kom, M.Pd_42</v>
          </cell>
          <cell r="D51" t="str">
            <v>x</v>
          </cell>
        </row>
        <row r="54">
          <cell r="A54" t="str">
            <v>Mengetahui</v>
          </cell>
          <cell r="D54" t="str">
            <v>Samarinda, 31 Desember 2013</v>
          </cell>
        </row>
        <row r="55">
          <cell r="A55" t="str">
            <v>Kepala Sekolah,</v>
          </cell>
          <cell r="D55" t="str">
            <v>Wali Kelas,</v>
          </cell>
        </row>
        <row r="58">
          <cell r="A58" t="str">
            <v>Muji Raharjo, S.Ag, M.Pd</v>
          </cell>
          <cell r="D58" t="str">
            <v>Syaidah, S.Pd</v>
          </cell>
        </row>
        <row r="59">
          <cell r="A59" t="str">
            <v>NIP. 19670815 198601 1 001</v>
          </cell>
          <cell r="D59" t="str">
            <v>NIP. 19680401 199412 2 001</v>
          </cell>
        </row>
      </sheetData>
      <sheetData sheetId="24">
        <row r="1">
          <cell r="B1" t="str">
            <v xml:space="preserve">REKAPITULASI LAPORAN CAPAIAN KOMPETENSI </v>
          </cell>
        </row>
        <row r="2">
          <cell r="B2" t="str">
            <v>SMAN 8 SAMARINDA</v>
          </cell>
        </row>
        <row r="3">
          <cell r="B3" t="str">
            <v>Jl. Untung Suropati No. 18</v>
          </cell>
        </row>
        <row r="4">
          <cell r="B4" t="str">
            <v>Kelas</v>
          </cell>
          <cell r="F4" t="str">
            <v>: X MIPA-2</v>
          </cell>
        </row>
        <row r="5">
          <cell r="B5" t="str">
            <v>Semester</v>
          </cell>
          <cell r="F5" t="str">
            <v>: Satu (1)</v>
          </cell>
        </row>
        <row r="6">
          <cell r="B6" t="str">
            <v xml:space="preserve">Tahun Pelajaran </v>
          </cell>
          <cell r="F6" t="str">
            <v>: 2013/2014</v>
          </cell>
        </row>
        <row r="8">
          <cell r="B8" t="str">
            <v>NO.</v>
          </cell>
          <cell r="C8" t="str">
            <v>NIS</v>
          </cell>
          <cell r="D8" t="str">
            <v>NAMA</v>
          </cell>
          <cell r="G8" t="str">
            <v xml:space="preserve"> MATA  PELAJARAN</v>
          </cell>
          <cell r="W8" t="str">
            <v>KEHADIRAN</v>
          </cell>
          <cell r="Z8" t="str">
            <v>EKSTRAKURIKULER</v>
          </cell>
          <cell r="AC8" t="str">
            <v>SIKAP</v>
          </cell>
        </row>
        <row r="9">
          <cell r="F9" t="str">
            <v>ASPEK</v>
          </cell>
          <cell r="G9" t="str">
            <v>Pendidikan Agama dan Budi Pekerti</v>
          </cell>
          <cell r="H9" t="str">
            <v>Pendidikan Pancasila dan Kewarganegaraan</v>
          </cell>
          <cell r="I9" t="str">
            <v>Bahasa Indonesia</v>
          </cell>
          <cell r="J9" t="str">
            <v>Matematika</v>
          </cell>
          <cell r="K9" t="str">
            <v>Sejarah Indonesia</v>
          </cell>
          <cell r="L9" t="str">
            <v>Bahasa Inggris</v>
          </cell>
          <cell r="M9" t="str">
            <v>Seni Budaya</v>
          </cell>
          <cell r="N9" t="str">
            <v>Pendidikan Jasmani, Olah raga dan Kesehatan</v>
          </cell>
          <cell r="O9" t="str">
            <v>Prakarya dan Kewirausahaan</v>
          </cell>
          <cell r="P9" t="str">
            <v xml:space="preserve">Minat1 </v>
          </cell>
          <cell r="Q9" t="str">
            <v>Minat2</v>
          </cell>
          <cell r="R9" t="str">
            <v>Minat3</v>
          </cell>
          <cell r="S9" t="str">
            <v>Minat4</v>
          </cell>
          <cell r="T9" t="str">
            <v>Minat5</v>
          </cell>
          <cell r="U9" t="str">
            <v>Minat6</v>
          </cell>
          <cell r="W9" t="str">
            <v>S</v>
          </cell>
          <cell r="X9" t="str">
            <v>I</v>
          </cell>
          <cell r="Y9" t="str">
            <v>A</v>
          </cell>
          <cell r="Z9" t="str">
            <v>Jenis Kegiatan</v>
          </cell>
          <cell r="AA9" t="str">
            <v>Nilai</v>
          </cell>
          <cell r="AB9" t="str">
            <v>Keterangan</v>
          </cell>
          <cell r="AC9" t="str">
            <v>Antar Mapel</v>
          </cell>
        </row>
        <row r="10">
          <cell r="F10" t="str">
            <v>KODE</v>
          </cell>
          <cell r="G10">
            <v>1</v>
          </cell>
          <cell r="H10">
            <v>2</v>
          </cell>
          <cell r="I10">
            <v>3</v>
          </cell>
          <cell r="J10">
            <v>4</v>
          </cell>
          <cell r="K10">
            <v>5</v>
          </cell>
          <cell r="L10">
            <v>6</v>
          </cell>
          <cell r="M10">
            <v>7</v>
          </cell>
          <cell r="N10">
            <v>8</v>
          </cell>
          <cell r="O10">
            <v>9</v>
          </cell>
          <cell r="P10">
            <v>10</v>
          </cell>
          <cell r="Q10">
            <v>11</v>
          </cell>
          <cell r="R10">
            <v>12</v>
          </cell>
          <cell r="S10">
            <v>13</v>
          </cell>
          <cell r="T10">
            <v>14</v>
          </cell>
          <cell r="U10">
            <v>15</v>
          </cell>
        </row>
        <row r="11">
          <cell r="B11">
            <v>1</v>
          </cell>
          <cell r="C11">
            <v>3534</v>
          </cell>
          <cell r="D11" t="str">
            <v>Achmad Albert</v>
          </cell>
          <cell r="E11" t="str">
            <v>3534A</v>
          </cell>
          <cell r="F11" t="str">
            <v>Peng.</v>
          </cell>
          <cell r="G11">
            <v>87</v>
          </cell>
          <cell r="H11">
            <v>88</v>
          </cell>
          <cell r="I11">
            <v>89</v>
          </cell>
          <cell r="J11">
            <v>90</v>
          </cell>
          <cell r="K11">
            <v>91</v>
          </cell>
          <cell r="L11">
            <v>92</v>
          </cell>
          <cell r="M11">
            <v>91</v>
          </cell>
          <cell r="N11">
            <v>91</v>
          </cell>
          <cell r="O11">
            <v>91</v>
          </cell>
          <cell r="P11">
            <v>78</v>
          </cell>
          <cell r="Q11">
            <v>79</v>
          </cell>
          <cell r="R11">
            <v>80</v>
          </cell>
          <cell r="S11">
            <v>81</v>
          </cell>
          <cell r="T11">
            <v>82</v>
          </cell>
          <cell r="U11">
            <v>83</v>
          </cell>
          <cell r="W11">
            <v>4</v>
          </cell>
          <cell r="X11">
            <v>3</v>
          </cell>
          <cell r="Y11">
            <v>2</v>
          </cell>
          <cell r="Z11" t="str">
            <v>Praja Muda Karana (Pramuka)</v>
          </cell>
          <cell r="AA11" t="str">
            <v>A</v>
          </cell>
          <cell r="AB11" t="str">
            <v>Memuaskan. Aktif dalam Perkemahan Wirakarya dan Raimuna Kota Samarinda</v>
          </cell>
          <cell r="AC11" t="str">
            <v>Peserta didik sudah menunjukkan sikap mengamalkan ajaran agamanya,  konsisten  menerapkan sikap santun, jujur dan kerjasama, namun masih perlu meningkatkan lagi sikap percaya diri dan kepedulian terhadap lingkungan.</v>
          </cell>
          <cell r="AF11">
            <v>86.2</v>
          </cell>
        </row>
        <row r="12">
          <cell r="E12" t="str">
            <v>3534B</v>
          </cell>
          <cell r="F12" t="str">
            <v>Prak.</v>
          </cell>
          <cell r="G12">
            <v>100</v>
          </cell>
          <cell r="H12">
            <v>99</v>
          </cell>
          <cell r="I12">
            <v>98</v>
          </cell>
          <cell r="J12">
            <v>97</v>
          </cell>
          <cell r="K12">
            <v>96</v>
          </cell>
          <cell r="L12">
            <v>95</v>
          </cell>
          <cell r="M12">
            <v>94</v>
          </cell>
          <cell r="N12">
            <v>93</v>
          </cell>
          <cell r="O12">
            <v>92</v>
          </cell>
          <cell r="P12">
            <v>91</v>
          </cell>
          <cell r="Q12">
            <v>90</v>
          </cell>
          <cell r="R12">
            <v>89</v>
          </cell>
          <cell r="S12">
            <v>88</v>
          </cell>
          <cell r="T12">
            <v>87</v>
          </cell>
          <cell r="U12">
            <v>86</v>
          </cell>
          <cell r="Z12" t="str">
            <v>Erobik</v>
          </cell>
          <cell r="AA12" t="str">
            <v>A</v>
          </cell>
          <cell r="AB12" t="str">
            <v>Mengausai dasar-dasar aerobik</v>
          </cell>
          <cell r="AF12">
            <v>93</v>
          </cell>
        </row>
        <row r="13">
          <cell r="E13" t="str">
            <v>3534C</v>
          </cell>
          <cell r="F13" t="str">
            <v>Sikap</v>
          </cell>
          <cell r="G13" t="str">
            <v>SB</v>
          </cell>
          <cell r="H13" t="str">
            <v>SB</v>
          </cell>
          <cell r="I13" t="str">
            <v>B</v>
          </cell>
          <cell r="J13" t="str">
            <v>B</v>
          </cell>
          <cell r="K13" t="str">
            <v>B</v>
          </cell>
          <cell r="L13" t="str">
            <v>C</v>
          </cell>
          <cell r="M13" t="str">
            <v>SB</v>
          </cell>
          <cell r="N13" t="str">
            <v>B</v>
          </cell>
          <cell r="O13" t="str">
            <v>C</v>
          </cell>
          <cell r="P13" t="str">
            <v>C</v>
          </cell>
          <cell r="Q13" t="str">
            <v>C</v>
          </cell>
          <cell r="R13" t="str">
            <v>C</v>
          </cell>
          <cell r="S13" t="str">
            <v>C</v>
          </cell>
          <cell r="T13" t="str">
            <v>C</v>
          </cell>
          <cell r="U13" t="str">
            <v>C</v>
          </cell>
          <cell r="Z13" t="str">
            <v>OSN Komputer</v>
          </cell>
          <cell r="AA13" t="str">
            <v>B</v>
          </cell>
          <cell r="AB13" t="str">
            <v>Menguasai Iterasi dan Looping serta mampu membuat algoritma program</v>
          </cell>
          <cell r="AF13" t="e">
            <v>#DIV/0!</v>
          </cell>
        </row>
        <row r="14">
          <cell r="B14">
            <v>2</v>
          </cell>
          <cell r="C14">
            <v>3496</v>
          </cell>
          <cell r="D14" t="str">
            <v>Agustin WR Putri</v>
          </cell>
          <cell r="E14" t="str">
            <v>3496A</v>
          </cell>
          <cell r="F14" t="str">
            <v>Peng.</v>
          </cell>
          <cell r="G14">
            <v>85</v>
          </cell>
          <cell r="H14">
            <v>83</v>
          </cell>
          <cell r="I14">
            <v>83</v>
          </cell>
          <cell r="J14">
            <v>74</v>
          </cell>
          <cell r="K14">
            <v>63</v>
          </cell>
          <cell r="L14">
            <v>65</v>
          </cell>
          <cell r="M14">
            <v>60</v>
          </cell>
          <cell r="N14">
            <v>57</v>
          </cell>
          <cell r="O14">
            <v>77</v>
          </cell>
          <cell r="P14">
            <v>77</v>
          </cell>
          <cell r="Q14">
            <v>77</v>
          </cell>
          <cell r="R14">
            <v>77</v>
          </cell>
          <cell r="S14">
            <v>77</v>
          </cell>
          <cell r="T14">
            <v>77</v>
          </cell>
          <cell r="U14">
            <v>77</v>
          </cell>
          <cell r="Z14" t="str">
            <v>Praja Muda Karana (Pramuka)</v>
          </cell>
          <cell r="AA14" t="str">
            <v>A</v>
          </cell>
          <cell r="AB14" t="str">
            <v>Memuaskan. Aktif dalam Perkemahan Wirakarya dan Raimuna Kota Samarinda</v>
          </cell>
          <cell r="AC14" t="str">
            <v>Peserta didik sudah menunjukkan sikap mengamalkan ajaran agamanya,  konsisten  menerapkan sikap santun, jujur dan kerjasama, namun masih perlu meningkatkan lagi sikap percaya diri dan kepedulian terhadap lingkungan.</v>
          </cell>
          <cell r="AF14">
            <v>73.933333333333337</v>
          </cell>
        </row>
        <row r="15">
          <cell r="E15" t="str">
            <v>3496B</v>
          </cell>
          <cell r="F15" t="str">
            <v>Prak.</v>
          </cell>
          <cell r="G15">
            <v>85</v>
          </cell>
          <cell r="H15">
            <v>83</v>
          </cell>
          <cell r="I15">
            <v>83</v>
          </cell>
          <cell r="J15">
            <v>74</v>
          </cell>
          <cell r="K15">
            <v>63</v>
          </cell>
          <cell r="L15">
            <v>65</v>
          </cell>
          <cell r="M15">
            <v>60</v>
          </cell>
          <cell r="N15">
            <v>57</v>
          </cell>
          <cell r="O15">
            <v>77</v>
          </cell>
          <cell r="P15">
            <v>77</v>
          </cell>
          <cell r="Q15">
            <v>77</v>
          </cell>
          <cell r="R15">
            <v>77</v>
          </cell>
          <cell r="S15">
            <v>77</v>
          </cell>
          <cell r="T15">
            <v>77</v>
          </cell>
          <cell r="U15">
            <v>77</v>
          </cell>
          <cell r="Z15" t="str">
            <v>Erobik</v>
          </cell>
          <cell r="AA15" t="str">
            <v>A</v>
          </cell>
          <cell r="AB15" t="str">
            <v>Mengausai dasar-dasar aerobik</v>
          </cell>
          <cell r="AF15">
            <v>73.933333333333337</v>
          </cell>
        </row>
        <row r="16">
          <cell r="E16" t="str">
            <v>3496C</v>
          </cell>
          <cell r="F16" t="str">
            <v>Sikap</v>
          </cell>
          <cell r="G16" t="str">
            <v>SB</v>
          </cell>
          <cell r="H16" t="str">
            <v>SB</v>
          </cell>
          <cell r="I16" t="str">
            <v>B</v>
          </cell>
          <cell r="J16" t="str">
            <v>B</v>
          </cell>
          <cell r="K16" t="str">
            <v>B</v>
          </cell>
          <cell r="L16" t="str">
            <v>C</v>
          </cell>
          <cell r="M16" t="str">
            <v>SB</v>
          </cell>
          <cell r="N16" t="str">
            <v>B</v>
          </cell>
          <cell r="O16" t="str">
            <v>C</v>
          </cell>
          <cell r="P16" t="str">
            <v>C</v>
          </cell>
          <cell r="Q16" t="str">
            <v>C</v>
          </cell>
          <cell r="R16" t="str">
            <v>C</v>
          </cell>
          <cell r="S16" t="str">
            <v>C</v>
          </cell>
          <cell r="T16" t="str">
            <v>C</v>
          </cell>
          <cell r="U16" t="str">
            <v>C</v>
          </cell>
          <cell r="Z16" t="str">
            <v>OSN Komputer</v>
          </cell>
          <cell r="AA16" t="str">
            <v>B</v>
          </cell>
          <cell r="AB16" t="str">
            <v>Menguasai Iterasi dan Looping serta mampu membuat algoritma program</v>
          </cell>
          <cell r="AF16" t="e">
            <v>#DIV/0!</v>
          </cell>
        </row>
        <row r="17">
          <cell r="B17">
            <v>3</v>
          </cell>
          <cell r="C17">
            <v>3415</v>
          </cell>
          <cell r="D17" t="str">
            <v>Andi Tri Saputra</v>
          </cell>
          <cell r="E17" t="str">
            <v>3415A</v>
          </cell>
          <cell r="F17" t="str">
            <v>Peng.</v>
          </cell>
          <cell r="G17">
            <v>85</v>
          </cell>
          <cell r="H17">
            <v>83</v>
          </cell>
          <cell r="I17">
            <v>83</v>
          </cell>
          <cell r="J17">
            <v>74</v>
          </cell>
          <cell r="K17">
            <v>63</v>
          </cell>
          <cell r="L17">
            <v>65</v>
          </cell>
          <cell r="M17">
            <v>60</v>
          </cell>
          <cell r="N17">
            <v>57</v>
          </cell>
          <cell r="O17">
            <v>77</v>
          </cell>
          <cell r="P17">
            <v>77</v>
          </cell>
          <cell r="Q17">
            <v>77</v>
          </cell>
          <cell r="R17">
            <v>77</v>
          </cell>
          <cell r="S17">
            <v>77</v>
          </cell>
          <cell r="T17">
            <v>77</v>
          </cell>
          <cell r="U17">
            <v>77</v>
          </cell>
          <cell r="W17">
            <v>1</v>
          </cell>
          <cell r="X17">
            <v>2</v>
          </cell>
          <cell r="Y17">
            <v>3</v>
          </cell>
          <cell r="AF17">
            <v>73.933333333333337</v>
          </cell>
        </row>
        <row r="18">
          <cell r="E18" t="str">
            <v>3415B</v>
          </cell>
          <cell r="F18" t="str">
            <v>Prak.</v>
          </cell>
          <cell r="G18">
            <v>85</v>
          </cell>
          <cell r="H18">
            <v>83</v>
          </cell>
          <cell r="I18">
            <v>83</v>
          </cell>
          <cell r="J18">
            <v>74</v>
          </cell>
          <cell r="K18">
            <v>63</v>
          </cell>
          <cell r="L18">
            <v>65</v>
          </cell>
          <cell r="M18">
            <v>60</v>
          </cell>
          <cell r="N18">
            <v>57</v>
          </cell>
          <cell r="O18">
            <v>77</v>
          </cell>
          <cell r="P18">
            <v>77</v>
          </cell>
          <cell r="Q18">
            <v>77</v>
          </cell>
          <cell r="R18">
            <v>77</v>
          </cell>
          <cell r="S18">
            <v>77</v>
          </cell>
          <cell r="T18">
            <v>77</v>
          </cell>
          <cell r="U18">
            <v>77</v>
          </cell>
          <cell r="AF18">
            <v>73.933333333333337</v>
          </cell>
        </row>
        <row r="19">
          <cell r="E19" t="str">
            <v>3415C</v>
          </cell>
          <cell r="F19" t="str">
            <v>Sikap</v>
          </cell>
          <cell r="G19" t="str">
            <v>SB</v>
          </cell>
          <cell r="H19" t="str">
            <v>SB</v>
          </cell>
          <cell r="I19" t="str">
            <v>B</v>
          </cell>
          <cell r="J19" t="str">
            <v>B</v>
          </cell>
          <cell r="K19" t="str">
            <v>B</v>
          </cell>
          <cell r="L19" t="str">
            <v>C</v>
          </cell>
          <cell r="M19" t="str">
            <v>SB</v>
          </cell>
          <cell r="N19" t="str">
            <v>B</v>
          </cell>
          <cell r="O19" t="str">
            <v>C</v>
          </cell>
          <cell r="P19" t="str">
            <v>C</v>
          </cell>
          <cell r="Q19" t="str">
            <v>C</v>
          </cell>
          <cell r="R19" t="str">
            <v>C</v>
          </cell>
          <cell r="S19" t="str">
            <v>C</v>
          </cell>
          <cell r="T19" t="str">
            <v>C</v>
          </cell>
          <cell r="U19" t="str">
            <v>C</v>
          </cell>
          <cell r="AF19" t="e">
            <v>#DIV/0!</v>
          </cell>
        </row>
        <row r="20">
          <cell r="B20">
            <v>4</v>
          </cell>
          <cell r="C20">
            <v>3458</v>
          </cell>
          <cell r="D20" t="str">
            <v>Arum Pramusinta</v>
          </cell>
          <cell r="E20" t="str">
            <v>3458A</v>
          </cell>
          <cell r="F20" t="str">
            <v>Peng.</v>
          </cell>
          <cell r="G20">
            <v>85</v>
          </cell>
          <cell r="H20">
            <v>83</v>
          </cell>
          <cell r="I20">
            <v>83</v>
          </cell>
          <cell r="J20">
            <v>74</v>
          </cell>
          <cell r="K20">
            <v>63</v>
          </cell>
          <cell r="L20">
            <v>65</v>
          </cell>
          <cell r="M20">
            <v>60</v>
          </cell>
          <cell r="N20">
            <v>57</v>
          </cell>
          <cell r="O20">
            <v>77</v>
          </cell>
          <cell r="P20">
            <v>77</v>
          </cell>
          <cell r="Q20">
            <v>77</v>
          </cell>
          <cell r="R20">
            <v>77</v>
          </cell>
          <cell r="S20">
            <v>77</v>
          </cell>
          <cell r="T20">
            <v>77</v>
          </cell>
          <cell r="U20">
            <v>77</v>
          </cell>
          <cell r="AF20">
            <v>73.933333333333337</v>
          </cell>
        </row>
        <row r="21">
          <cell r="E21" t="str">
            <v>3458B</v>
          </cell>
          <cell r="F21" t="str">
            <v>Prak.</v>
          </cell>
          <cell r="G21">
            <v>85</v>
          </cell>
          <cell r="H21">
            <v>83</v>
          </cell>
          <cell r="I21">
            <v>83</v>
          </cell>
          <cell r="J21">
            <v>74</v>
          </cell>
          <cell r="K21">
            <v>63</v>
          </cell>
          <cell r="L21">
            <v>65</v>
          </cell>
          <cell r="M21">
            <v>60</v>
          </cell>
          <cell r="N21">
            <v>57</v>
          </cell>
          <cell r="O21">
            <v>77</v>
          </cell>
          <cell r="P21">
            <v>77</v>
          </cell>
          <cell r="Q21">
            <v>77</v>
          </cell>
          <cell r="R21">
            <v>77</v>
          </cell>
          <cell r="S21">
            <v>77</v>
          </cell>
          <cell r="T21">
            <v>77</v>
          </cell>
          <cell r="U21">
            <v>77</v>
          </cell>
          <cell r="AF21">
            <v>73.933333333333337</v>
          </cell>
        </row>
        <row r="22">
          <cell r="E22" t="str">
            <v>3458C</v>
          </cell>
          <cell r="F22" t="str">
            <v>Sikap</v>
          </cell>
          <cell r="G22" t="str">
            <v>SB</v>
          </cell>
          <cell r="H22" t="str">
            <v>SB</v>
          </cell>
          <cell r="I22" t="str">
            <v>B</v>
          </cell>
          <cell r="J22" t="str">
            <v>B</v>
          </cell>
          <cell r="K22" t="str">
            <v>B</v>
          </cell>
          <cell r="L22" t="str">
            <v>C</v>
          </cell>
          <cell r="M22" t="str">
            <v>SB</v>
          </cell>
          <cell r="N22" t="str">
            <v>B</v>
          </cell>
          <cell r="O22" t="str">
            <v>C</v>
          </cell>
          <cell r="P22" t="str">
            <v>C</v>
          </cell>
          <cell r="Q22" t="str">
            <v>C</v>
          </cell>
          <cell r="R22" t="str">
            <v>C</v>
          </cell>
          <cell r="S22" t="str">
            <v>C</v>
          </cell>
          <cell r="T22" t="str">
            <v>C</v>
          </cell>
          <cell r="U22" t="str">
            <v>C</v>
          </cell>
          <cell r="AF22" t="e">
            <v>#DIV/0!</v>
          </cell>
        </row>
        <row r="23">
          <cell r="B23">
            <v>5</v>
          </cell>
          <cell r="C23">
            <v>3579</v>
          </cell>
          <cell r="D23" t="str">
            <v>Ayu Ambarwati</v>
          </cell>
          <cell r="E23" t="str">
            <v>3579A</v>
          </cell>
          <cell r="F23" t="str">
            <v>Peng.</v>
          </cell>
          <cell r="G23">
            <v>85</v>
          </cell>
          <cell r="H23">
            <v>83</v>
          </cell>
          <cell r="I23">
            <v>83</v>
          </cell>
          <cell r="J23">
            <v>74</v>
          </cell>
          <cell r="K23">
            <v>63</v>
          </cell>
          <cell r="L23">
            <v>65</v>
          </cell>
          <cell r="M23">
            <v>60</v>
          </cell>
          <cell r="N23">
            <v>57</v>
          </cell>
          <cell r="O23">
            <v>77</v>
          </cell>
          <cell r="P23">
            <v>77</v>
          </cell>
          <cell r="Q23">
            <v>77</v>
          </cell>
          <cell r="R23">
            <v>77</v>
          </cell>
          <cell r="S23">
            <v>77</v>
          </cell>
          <cell r="T23">
            <v>77</v>
          </cell>
          <cell r="U23">
            <v>77</v>
          </cell>
          <cell r="AF23">
            <v>73.933333333333337</v>
          </cell>
        </row>
        <row r="24">
          <cell r="E24" t="str">
            <v>3579B</v>
          </cell>
          <cell r="F24" t="str">
            <v>Prak.</v>
          </cell>
          <cell r="G24">
            <v>85</v>
          </cell>
          <cell r="H24">
            <v>83</v>
          </cell>
          <cell r="I24">
            <v>83</v>
          </cell>
          <cell r="J24">
            <v>74</v>
          </cell>
          <cell r="K24">
            <v>63</v>
          </cell>
          <cell r="L24">
            <v>65</v>
          </cell>
          <cell r="M24">
            <v>60</v>
          </cell>
          <cell r="N24">
            <v>57</v>
          </cell>
          <cell r="O24">
            <v>77</v>
          </cell>
          <cell r="P24">
            <v>77</v>
          </cell>
          <cell r="Q24">
            <v>77</v>
          </cell>
          <cell r="R24">
            <v>77</v>
          </cell>
          <cell r="S24">
            <v>77</v>
          </cell>
          <cell r="T24">
            <v>77</v>
          </cell>
          <cell r="U24">
            <v>77</v>
          </cell>
          <cell r="AF24">
            <v>73.933333333333337</v>
          </cell>
        </row>
        <row r="25">
          <cell r="E25" t="str">
            <v>3579C</v>
          </cell>
          <cell r="F25" t="str">
            <v>Sikap</v>
          </cell>
          <cell r="G25" t="str">
            <v>SB</v>
          </cell>
          <cell r="H25" t="str">
            <v>SB</v>
          </cell>
          <cell r="I25" t="str">
            <v>B</v>
          </cell>
          <cell r="J25" t="str">
            <v>B</v>
          </cell>
          <cell r="K25" t="str">
            <v>B</v>
          </cell>
          <cell r="L25" t="str">
            <v>C</v>
          </cell>
          <cell r="M25" t="str">
            <v>SB</v>
          </cell>
          <cell r="N25" t="str">
            <v>B</v>
          </cell>
          <cell r="O25" t="str">
            <v>C</v>
          </cell>
          <cell r="P25" t="str">
            <v>C</v>
          </cell>
          <cell r="Q25" t="str">
            <v>C</v>
          </cell>
          <cell r="R25" t="str">
            <v>C</v>
          </cell>
          <cell r="S25" t="str">
            <v>C</v>
          </cell>
          <cell r="T25" t="str">
            <v>C</v>
          </cell>
          <cell r="U25" t="str">
            <v>C</v>
          </cell>
          <cell r="AF25" t="e">
            <v>#DIV/0!</v>
          </cell>
        </row>
        <row r="26">
          <cell r="B26">
            <v>6</v>
          </cell>
          <cell r="C26">
            <v>3539</v>
          </cell>
          <cell r="D26" t="str">
            <v>Ayu Khinanti Hardiko</v>
          </cell>
          <cell r="E26" t="str">
            <v>3539A</v>
          </cell>
          <cell r="F26" t="str">
            <v>Peng.</v>
          </cell>
          <cell r="G26">
            <v>85</v>
          </cell>
          <cell r="H26">
            <v>83</v>
          </cell>
          <cell r="I26">
            <v>83</v>
          </cell>
          <cell r="J26">
            <v>74</v>
          </cell>
          <cell r="K26">
            <v>63</v>
          </cell>
          <cell r="L26">
            <v>65</v>
          </cell>
          <cell r="M26">
            <v>60</v>
          </cell>
          <cell r="N26">
            <v>57</v>
          </cell>
          <cell r="O26">
            <v>77</v>
          </cell>
          <cell r="P26">
            <v>77</v>
          </cell>
          <cell r="Q26">
            <v>77</v>
          </cell>
          <cell r="R26">
            <v>77</v>
          </cell>
          <cell r="S26">
            <v>77</v>
          </cell>
          <cell r="T26">
            <v>77</v>
          </cell>
          <cell r="U26">
            <v>77</v>
          </cell>
          <cell r="Z26" t="str">
            <v>KOPSIS</v>
          </cell>
          <cell r="AA26" t="str">
            <v>A</v>
          </cell>
          <cell r="AB26" t="str">
            <v>Menguasai pembelian, penjualan dan laporan keuangan dengan sangat baik</v>
          </cell>
          <cell r="AF26">
            <v>73.933333333333337</v>
          </cell>
        </row>
        <row r="27">
          <cell r="E27" t="str">
            <v>3539B</v>
          </cell>
          <cell r="F27" t="str">
            <v>Prak.</v>
          </cell>
          <cell r="G27">
            <v>85</v>
          </cell>
          <cell r="H27">
            <v>83</v>
          </cell>
          <cell r="I27">
            <v>83</v>
          </cell>
          <cell r="J27">
            <v>74</v>
          </cell>
          <cell r="K27">
            <v>63</v>
          </cell>
          <cell r="L27">
            <v>65</v>
          </cell>
          <cell r="M27">
            <v>60</v>
          </cell>
          <cell r="N27">
            <v>57</v>
          </cell>
          <cell r="O27">
            <v>77</v>
          </cell>
          <cell r="P27">
            <v>77</v>
          </cell>
          <cell r="Q27">
            <v>77</v>
          </cell>
          <cell r="R27">
            <v>77</v>
          </cell>
          <cell r="S27">
            <v>77</v>
          </cell>
          <cell r="T27">
            <v>77</v>
          </cell>
          <cell r="U27">
            <v>77</v>
          </cell>
          <cell r="AF27">
            <v>73.933333333333337</v>
          </cell>
        </row>
        <row r="28">
          <cell r="E28" t="str">
            <v>3539C</v>
          </cell>
          <cell r="F28" t="str">
            <v>Sikap</v>
          </cell>
          <cell r="G28" t="str">
            <v>SB</v>
          </cell>
          <cell r="H28" t="str">
            <v>SB</v>
          </cell>
          <cell r="I28" t="str">
            <v>B</v>
          </cell>
          <cell r="J28" t="str">
            <v>B</v>
          </cell>
          <cell r="K28" t="str">
            <v>B</v>
          </cell>
          <cell r="L28" t="str">
            <v>C</v>
          </cell>
          <cell r="M28" t="str">
            <v>SB</v>
          </cell>
          <cell r="N28" t="str">
            <v>B</v>
          </cell>
          <cell r="O28" t="str">
            <v>C</v>
          </cell>
          <cell r="P28" t="str">
            <v>C</v>
          </cell>
          <cell r="Q28" t="str">
            <v>C</v>
          </cell>
          <cell r="R28" t="str">
            <v>C</v>
          </cell>
          <cell r="S28" t="str">
            <v>C</v>
          </cell>
          <cell r="T28" t="str">
            <v>C</v>
          </cell>
          <cell r="U28" t="str">
            <v>C</v>
          </cell>
          <cell r="AF28" t="e">
            <v>#DIV/0!</v>
          </cell>
        </row>
        <row r="29">
          <cell r="B29">
            <v>7</v>
          </cell>
          <cell r="C29">
            <v>3419</v>
          </cell>
          <cell r="D29" t="str">
            <v>Dessy Ariani</v>
          </cell>
          <cell r="E29" t="str">
            <v>3419A</v>
          </cell>
          <cell r="F29" t="str">
            <v>Peng.</v>
          </cell>
          <cell r="G29">
            <v>85</v>
          </cell>
          <cell r="H29">
            <v>83</v>
          </cell>
          <cell r="I29">
            <v>83</v>
          </cell>
          <cell r="J29">
            <v>74</v>
          </cell>
          <cell r="K29">
            <v>63</v>
          </cell>
          <cell r="L29">
            <v>65</v>
          </cell>
          <cell r="M29">
            <v>60</v>
          </cell>
          <cell r="N29">
            <v>57</v>
          </cell>
          <cell r="O29">
            <v>77</v>
          </cell>
          <cell r="P29">
            <v>77</v>
          </cell>
          <cell r="Q29">
            <v>77</v>
          </cell>
          <cell r="R29">
            <v>77</v>
          </cell>
          <cell r="S29">
            <v>77</v>
          </cell>
          <cell r="T29">
            <v>77</v>
          </cell>
          <cell r="U29">
            <v>77</v>
          </cell>
          <cell r="AF29">
            <v>73.933333333333337</v>
          </cell>
        </row>
        <row r="30">
          <cell r="E30" t="str">
            <v>3419B</v>
          </cell>
          <cell r="F30" t="str">
            <v>Prak.</v>
          </cell>
          <cell r="G30">
            <v>85</v>
          </cell>
          <cell r="H30">
            <v>83</v>
          </cell>
          <cell r="I30">
            <v>83</v>
          </cell>
          <cell r="J30">
            <v>74</v>
          </cell>
          <cell r="K30">
            <v>63</v>
          </cell>
          <cell r="L30">
            <v>65</v>
          </cell>
          <cell r="M30">
            <v>60</v>
          </cell>
          <cell r="N30">
            <v>57</v>
          </cell>
          <cell r="O30">
            <v>77</v>
          </cell>
          <cell r="P30">
            <v>77</v>
          </cell>
          <cell r="Q30">
            <v>77</v>
          </cell>
          <cell r="R30">
            <v>77</v>
          </cell>
          <cell r="S30">
            <v>77</v>
          </cell>
          <cell r="T30">
            <v>77</v>
          </cell>
          <cell r="U30">
            <v>77</v>
          </cell>
          <cell r="AF30">
            <v>73.933333333333337</v>
          </cell>
        </row>
        <row r="31">
          <cell r="E31" t="str">
            <v>3419C</v>
          </cell>
          <cell r="F31" t="str">
            <v>Sikap</v>
          </cell>
          <cell r="G31" t="str">
            <v>SB</v>
          </cell>
          <cell r="H31" t="str">
            <v>SB</v>
          </cell>
          <cell r="I31" t="str">
            <v>B</v>
          </cell>
          <cell r="J31" t="str">
            <v>B</v>
          </cell>
          <cell r="K31" t="str">
            <v>B</v>
          </cell>
          <cell r="L31" t="str">
            <v>C</v>
          </cell>
          <cell r="M31" t="str">
            <v>SB</v>
          </cell>
          <cell r="N31" t="str">
            <v>B</v>
          </cell>
          <cell r="O31" t="str">
            <v>C</v>
          </cell>
          <cell r="P31" t="str">
            <v>C</v>
          </cell>
          <cell r="Q31" t="str">
            <v>C</v>
          </cell>
          <cell r="R31" t="str">
            <v>C</v>
          </cell>
          <cell r="S31" t="str">
            <v>C</v>
          </cell>
          <cell r="T31" t="str">
            <v>C</v>
          </cell>
          <cell r="U31" t="str">
            <v>C</v>
          </cell>
          <cell r="AF31" t="e">
            <v>#DIV/0!</v>
          </cell>
        </row>
        <row r="32">
          <cell r="B32">
            <v>8</v>
          </cell>
          <cell r="C32">
            <v>3635</v>
          </cell>
          <cell r="D32" t="str">
            <v>Dian Tri Santi Utami</v>
          </cell>
          <cell r="E32" t="str">
            <v>3635A</v>
          </cell>
          <cell r="F32" t="str">
            <v>Peng.</v>
          </cell>
          <cell r="G32">
            <v>85</v>
          </cell>
          <cell r="H32">
            <v>83</v>
          </cell>
          <cell r="I32">
            <v>83</v>
          </cell>
          <cell r="J32">
            <v>74</v>
          </cell>
          <cell r="K32">
            <v>63</v>
          </cell>
          <cell r="L32">
            <v>65</v>
          </cell>
          <cell r="M32">
            <v>60</v>
          </cell>
          <cell r="N32">
            <v>57</v>
          </cell>
          <cell r="O32">
            <v>77</v>
          </cell>
          <cell r="P32">
            <v>77</v>
          </cell>
          <cell r="Q32">
            <v>77</v>
          </cell>
          <cell r="R32">
            <v>77</v>
          </cell>
          <cell r="S32">
            <v>77</v>
          </cell>
          <cell r="T32">
            <v>77</v>
          </cell>
          <cell r="U32">
            <v>77</v>
          </cell>
          <cell r="Z32" t="str">
            <v>KOPSIS</v>
          </cell>
          <cell r="AA32" t="str">
            <v>Baik</v>
          </cell>
          <cell r="AB32" t="str">
            <v>Menguasai pembelian, penjualan dan laporan keuangan dengan baik</v>
          </cell>
          <cell r="AF32">
            <v>73.933333333333337</v>
          </cell>
        </row>
        <row r="33">
          <cell r="E33" t="str">
            <v>3635B</v>
          </cell>
          <cell r="F33" t="str">
            <v>Prak.</v>
          </cell>
          <cell r="G33">
            <v>85</v>
          </cell>
          <cell r="H33">
            <v>83</v>
          </cell>
          <cell r="I33">
            <v>83</v>
          </cell>
          <cell r="J33">
            <v>74</v>
          </cell>
          <cell r="K33">
            <v>63</v>
          </cell>
          <cell r="L33">
            <v>65</v>
          </cell>
          <cell r="M33">
            <v>60</v>
          </cell>
          <cell r="N33">
            <v>57</v>
          </cell>
          <cell r="O33">
            <v>77</v>
          </cell>
          <cell r="P33">
            <v>77</v>
          </cell>
          <cell r="Q33">
            <v>77</v>
          </cell>
          <cell r="R33">
            <v>77</v>
          </cell>
          <cell r="S33">
            <v>77</v>
          </cell>
          <cell r="T33">
            <v>77</v>
          </cell>
          <cell r="U33">
            <v>77</v>
          </cell>
          <cell r="AF33">
            <v>73.933333333333337</v>
          </cell>
        </row>
        <row r="34">
          <cell r="E34" t="str">
            <v>3635C</v>
          </cell>
          <cell r="F34" t="str">
            <v>Sikap</v>
          </cell>
          <cell r="G34" t="str">
            <v>SB</v>
          </cell>
          <cell r="H34" t="str">
            <v>SB</v>
          </cell>
          <cell r="I34" t="str">
            <v>B</v>
          </cell>
          <cell r="J34" t="str">
            <v>B</v>
          </cell>
          <cell r="K34" t="str">
            <v>B</v>
          </cell>
          <cell r="L34" t="str">
            <v>C</v>
          </cell>
          <cell r="M34" t="str">
            <v>SB</v>
          </cell>
          <cell r="N34" t="str">
            <v>B</v>
          </cell>
          <cell r="O34" t="str">
            <v>C</v>
          </cell>
          <cell r="P34" t="str">
            <v>C</v>
          </cell>
          <cell r="Q34" t="str">
            <v>C</v>
          </cell>
          <cell r="R34" t="str">
            <v>C</v>
          </cell>
          <cell r="S34" t="str">
            <v>C</v>
          </cell>
          <cell r="T34" t="str">
            <v>C</v>
          </cell>
          <cell r="U34" t="str">
            <v>C</v>
          </cell>
          <cell r="AF34" t="e">
            <v>#DIV/0!</v>
          </cell>
        </row>
        <row r="35">
          <cell r="B35">
            <v>9</v>
          </cell>
          <cell r="C35">
            <v>3426</v>
          </cell>
          <cell r="D35" t="str">
            <v>Fane Amalia Tambayong</v>
          </cell>
          <cell r="E35" t="str">
            <v>3426A</v>
          </cell>
          <cell r="F35" t="str">
            <v>Peng.</v>
          </cell>
          <cell r="G35">
            <v>85</v>
          </cell>
          <cell r="H35">
            <v>83</v>
          </cell>
          <cell r="I35">
            <v>83</v>
          </cell>
          <cell r="J35">
            <v>74</v>
          </cell>
          <cell r="K35">
            <v>63</v>
          </cell>
          <cell r="L35">
            <v>65</v>
          </cell>
          <cell r="M35">
            <v>60</v>
          </cell>
          <cell r="N35">
            <v>57</v>
          </cell>
          <cell r="O35">
            <v>77</v>
          </cell>
          <cell r="P35">
            <v>77</v>
          </cell>
          <cell r="Q35">
            <v>77</v>
          </cell>
          <cell r="R35">
            <v>77</v>
          </cell>
          <cell r="S35">
            <v>77</v>
          </cell>
          <cell r="T35">
            <v>77</v>
          </cell>
          <cell r="U35">
            <v>77</v>
          </cell>
          <cell r="AF35">
            <v>73.933333333333337</v>
          </cell>
        </row>
        <row r="36">
          <cell r="E36" t="str">
            <v>3426B</v>
          </cell>
          <cell r="F36" t="str">
            <v>Prak.</v>
          </cell>
          <cell r="G36">
            <v>85</v>
          </cell>
          <cell r="H36">
            <v>83</v>
          </cell>
          <cell r="I36">
            <v>83</v>
          </cell>
          <cell r="J36">
            <v>74</v>
          </cell>
          <cell r="K36">
            <v>63</v>
          </cell>
          <cell r="L36">
            <v>65</v>
          </cell>
          <cell r="M36">
            <v>60</v>
          </cell>
          <cell r="N36">
            <v>57</v>
          </cell>
          <cell r="O36">
            <v>77</v>
          </cell>
          <cell r="P36">
            <v>77</v>
          </cell>
          <cell r="Q36">
            <v>77</v>
          </cell>
          <cell r="R36">
            <v>77</v>
          </cell>
          <cell r="S36">
            <v>77</v>
          </cell>
          <cell r="T36">
            <v>77</v>
          </cell>
          <cell r="U36">
            <v>77</v>
          </cell>
          <cell r="AF36">
            <v>73.933333333333337</v>
          </cell>
        </row>
        <row r="37">
          <cell r="E37" t="str">
            <v>3426C</v>
          </cell>
          <cell r="F37" t="str">
            <v>Sikap</v>
          </cell>
          <cell r="G37" t="str">
            <v>SB</v>
          </cell>
          <cell r="H37" t="str">
            <v>SB</v>
          </cell>
          <cell r="I37" t="str">
            <v>B</v>
          </cell>
          <cell r="J37" t="str">
            <v>B</v>
          </cell>
          <cell r="K37" t="str">
            <v>B</v>
          </cell>
          <cell r="L37" t="str">
            <v>C</v>
          </cell>
          <cell r="M37" t="str">
            <v>SB</v>
          </cell>
          <cell r="N37" t="str">
            <v>B</v>
          </cell>
          <cell r="O37" t="str">
            <v>C</v>
          </cell>
          <cell r="P37" t="str">
            <v>C</v>
          </cell>
          <cell r="Q37" t="str">
            <v>C</v>
          </cell>
          <cell r="R37" t="str">
            <v>C</v>
          </cell>
          <cell r="S37" t="str">
            <v>C</v>
          </cell>
          <cell r="T37" t="str">
            <v>C</v>
          </cell>
          <cell r="U37" t="str">
            <v>C</v>
          </cell>
          <cell r="AF37" t="e">
            <v>#DIV/0!</v>
          </cell>
        </row>
        <row r="38">
          <cell r="B38">
            <v>10</v>
          </cell>
          <cell r="C38">
            <v>3505</v>
          </cell>
          <cell r="D38" t="str">
            <v>Ferdi Hadi Wijaya</v>
          </cell>
          <cell r="E38" t="str">
            <v>3505A</v>
          </cell>
          <cell r="F38" t="str">
            <v>Peng.</v>
          </cell>
          <cell r="G38">
            <v>85</v>
          </cell>
          <cell r="H38">
            <v>83</v>
          </cell>
          <cell r="I38">
            <v>83</v>
          </cell>
          <cell r="J38">
            <v>74</v>
          </cell>
          <cell r="K38">
            <v>63</v>
          </cell>
          <cell r="L38">
            <v>65</v>
          </cell>
          <cell r="M38">
            <v>60</v>
          </cell>
          <cell r="N38">
            <v>57</v>
          </cell>
          <cell r="O38">
            <v>77</v>
          </cell>
          <cell r="P38">
            <v>77</v>
          </cell>
          <cell r="Q38">
            <v>77</v>
          </cell>
          <cell r="R38">
            <v>77</v>
          </cell>
          <cell r="S38">
            <v>77</v>
          </cell>
          <cell r="T38">
            <v>77</v>
          </cell>
          <cell r="U38">
            <v>77</v>
          </cell>
          <cell r="AF38">
            <v>73.933333333333337</v>
          </cell>
        </row>
        <row r="39">
          <cell r="E39" t="str">
            <v>3505B</v>
          </cell>
          <cell r="F39" t="str">
            <v>Prak.</v>
          </cell>
          <cell r="G39">
            <v>85</v>
          </cell>
          <cell r="H39">
            <v>83</v>
          </cell>
          <cell r="I39">
            <v>83</v>
          </cell>
          <cell r="J39">
            <v>74</v>
          </cell>
          <cell r="K39">
            <v>63</v>
          </cell>
          <cell r="L39">
            <v>65</v>
          </cell>
          <cell r="M39">
            <v>60</v>
          </cell>
          <cell r="N39">
            <v>57</v>
          </cell>
          <cell r="O39">
            <v>77</v>
          </cell>
          <cell r="P39">
            <v>77</v>
          </cell>
          <cell r="Q39">
            <v>77</v>
          </cell>
          <cell r="R39">
            <v>77</v>
          </cell>
          <cell r="S39">
            <v>77</v>
          </cell>
          <cell r="T39">
            <v>77</v>
          </cell>
          <cell r="U39">
            <v>77</v>
          </cell>
          <cell r="AF39">
            <v>73.933333333333337</v>
          </cell>
        </row>
        <row r="40">
          <cell r="E40" t="str">
            <v>3505C</v>
          </cell>
          <cell r="F40" t="str">
            <v>Sikap</v>
          </cell>
          <cell r="G40" t="str">
            <v>SB</v>
          </cell>
          <cell r="H40" t="str">
            <v>SB</v>
          </cell>
          <cell r="I40" t="str">
            <v>B</v>
          </cell>
          <cell r="J40" t="str">
            <v>B</v>
          </cell>
          <cell r="K40" t="str">
            <v>B</v>
          </cell>
          <cell r="L40" t="str">
            <v>C</v>
          </cell>
          <cell r="M40" t="str">
            <v>SB</v>
          </cell>
          <cell r="N40" t="str">
            <v>B</v>
          </cell>
          <cell r="O40" t="str">
            <v>C</v>
          </cell>
          <cell r="P40" t="str">
            <v>C</v>
          </cell>
          <cell r="Q40" t="str">
            <v>C</v>
          </cell>
          <cell r="R40" t="str">
            <v>C</v>
          </cell>
          <cell r="S40" t="str">
            <v>C</v>
          </cell>
          <cell r="T40" t="str">
            <v>C</v>
          </cell>
          <cell r="U40" t="str">
            <v>C</v>
          </cell>
          <cell r="AF40" t="e">
            <v>#DIV/0!</v>
          </cell>
        </row>
        <row r="41">
          <cell r="B41">
            <v>11</v>
          </cell>
          <cell r="C41">
            <v>3464</v>
          </cell>
          <cell r="D41" t="str">
            <v>Fernando Panjaitan</v>
          </cell>
          <cell r="E41" t="str">
            <v>3464A</v>
          </cell>
          <cell r="F41" t="str">
            <v>Peng.</v>
          </cell>
          <cell r="G41">
            <v>85</v>
          </cell>
          <cell r="H41">
            <v>83</v>
          </cell>
          <cell r="I41">
            <v>83</v>
          </cell>
          <cell r="J41">
            <v>74</v>
          </cell>
          <cell r="K41">
            <v>63</v>
          </cell>
          <cell r="L41">
            <v>65</v>
          </cell>
          <cell r="M41">
            <v>60</v>
          </cell>
          <cell r="N41">
            <v>57</v>
          </cell>
          <cell r="O41">
            <v>77</v>
          </cell>
          <cell r="P41">
            <v>77</v>
          </cell>
          <cell r="Q41">
            <v>77</v>
          </cell>
          <cell r="R41">
            <v>77</v>
          </cell>
          <cell r="S41">
            <v>77</v>
          </cell>
          <cell r="T41">
            <v>77</v>
          </cell>
          <cell r="U41">
            <v>77</v>
          </cell>
          <cell r="AF41">
            <v>73.933333333333337</v>
          </cell>
        </row>
        <row r="42">
          <cell r="E42" t="str">
            <v>3464B</v>
          </cell>
          <cell r="F42" t="str">
            <v>Prak.</v>
          </cell>
          <cell r="G42">
            <v>85</v>
          </cell>
          <cell r="H42">
            <v>83</v>
          </cell>
          <cell r="I42">
            <v>83</v>
          </cell>
          <cell r="J42">
            <v>74</v>
          </cell>
          <cell r="K42">
            <v>63</v>
          </cell>
          <cell r="L42">
            <v>65</v>
          </cell>
          <cell r="M42">
            <v>60</v>
          </cell>
          <cell r="N42">
            <v>57</v>
          </cell>
          <cell r="O42">
            <v>77</v>
          </cell>
          <cell r="P42">
            <v>77</v>
          </cell>
          <cell r="Q42">
            <v>77</v>
          </cell>
          <cell r="R42">
            <v>77</v>
          </cell>
          <cell r="S42">
            <v>77</v>
          </cell>
          <cell r="T42">
            <v>77</v>
          </cell>
          <cell r="U42">
            <v>77</v>
          </cell>
          <cell r="AF42">
            <v>73.933333333333337</v>
          </cell>
        </row>
        <row r="43">
          <cell r="E43" t="str">
            <v>3464C</v>
          </cell>
          <cell r="F43" t="str">
            <v>Sikap</v>
          </cell>
          <cell r="G43" t="str">
            <v>SB</v>
          </cell>
          <cell r="H43" t="str">
            <v>SB</v>
          </cell>
          <cell r="I43" t="str">
            <v>B</v>
          </cell>
          <cell r="J43" t="str">
            <v>B</v>
          </cell>
          <cell r="K43" t="str">
            <v>B</v>
          </cell>
          <cell r="L43" t="str">
            <v>C</v>
          </cell>
          <cell r="M43" t="str">
            <v>SB</v>
          </cell>
          <cell r="N43" t="str">
            <v>B</v>
          </cell>
          <cell r="O43" t="str">
            <v>C</v>
          </cell>
          <cell r="P43" t="str">
            <v>C</v>
          </cell>
          <cell r="Q43" t="str">
            <v>C</v>
          </cell>
          <cell r="R43" t="str">
            <v>C</v>
          </cell>
          <cell r="S43" t="str">
            <v>C</v>
          </cell>
          <cell r="T43" t="str">
            <v>C</v>
          </cell>
          <cell r="U43" t="str">
            <v>C</v>
          </cell>
          <cell r="AF43" t="e">
            <v>#DIV/0!</v>
          </cell>
        </row>
        <row r="44">
          <cell r="B44">
            <v>12</v>
          </cell>
          <cell r="C44">
            <v>3466</v>
          </cell>
          <cell r="D44" t="str">
            <v>Fika Reinifa Astari</v>
          </cell>
          <cell r="E44" t="str">
            <v>3466A</v>
          </cell>
          <cell r="F44" t="str">
            <v>Peng.</v>
          </cell>
          <cell r="G44">
            <v>85</v>
          </cell>
          <cell r="H44">
            <v>83</v>
          </cell>
          <cell r="I44">
            <v>83</v>
          </cell>
          <cell r="J44">
            <v>74</v>
          </cell>
          <cell r="K44">
            <v>63</v>
          </cell>
          <cell r="L44">
            <v>65</v>
          </cell>
          <cell r="M44">
            <v>60</v>
          </cell>
          <cell r="N44">
            <v>57</v>
          </cell>
          <cell r="O44">
            <v>77</v>
          </cell>
          <cell r="P44">
            <v>77</v>
          </cell>
          <cell r="Q44">
            <v>77</v>
          </cell>
          <cell r="R44">
            <v>77</v>
          </cell>
          <cell r="S44">
            <v>77</v>
          </cell>
          <cell r="T44">
            <v>77</v>
          </cell>
          <cell r="U44">
            <v>77</v>
          </cell>
          <cell r="Z44" t="str">
            <v>Paskibra</v>
          </cell>
          <cell r="AA44" t="str">
            <v>Amat Baik</v>
          </cell>
          <cell r="AF44">
            <v>73.933333333333337</v>
          </cell>
        </row>
        <row r="45">
          <cell r="E45" t="str">
            <v>3466B</v>
          </cell>
          <cell r="F45" t="str">
            <v>Prak.</v>
          </cell>
          <cell r="G45">
            <v>85</v>
          </cell>
          <cell r="H45">
            <v>83</v>
          </cell>
          <cell r="I45">
            <v>83</v>
          </cell>
          <cell r="J45">
            <v>74</v>
          </cell>
          <cell r="K45">
            <v>63</v>
          </cell>
          <cell r="L45">
            <v>65</v>
          </cell>
          <cell r="M45">
            <v>60</v>
          </cell>
          <cell r="N45">
            <v>57</v>
          </cell>
          <cell r="O45">
            <v>77</v>
          </cell>
          <cell r="P45">
            <v>77</v>
          </cell>
          <cell r="Q45">
            <v>77</v>
          </cell>
          <cell r="R45">
            <v>77</v>
          </cell>
          <cell r="S45">
            <v>77</v>
          </cell>
          <cell r="T45">
            <v>77</v>
          </cell>
          <cell r="U45">
            <v>77</v>
          </cell>
          <cell r="AF45">
            <v>73.933333333333337</v>
          </cell>
        </row>
        <row r="46">
          <cell r="E46" t="str">
            <v>3466C</v>
          </cell>
          <cell r="F46" t="str">
            <v>Sikap</v>
          </cell>
          <cell r="G46" t="str">
            <v>SB</v>
          </cell>
          <cell r="H46" t="str">
            <v>SB</v>
          </cell>
          <cell r="I46" t="str">
            <v>B</v>
          </cell>
          <cell r="J46" t="str">
            <v>B</v>
          </cell>
          <cell r="K46" t="str">
            <v>B</v>
          </cell>
          <cell r="L46" t="str">
            <v>C</v>
          </cell>
          <cell r="M46" t="str">
            <v>SB</v>
          </cell>
          <cell r="N46" t="str">
            <v>B</v>
          </cell>
          <cell r="O46" t="str">
            <v>C</v>
          </cell>
          <cell r="P46" t="str">
            <v>C</v>
          </cell>
          <cell r="Q46" t="str">
            <v>C</v>
          </cell>
          <cell r="R46" t="str">
            <v>C</v>
          </cell>
          <cell r="S46" t="str">
            <v>C</v>
          </cell>
          <cell r="T46" t="str">
            <v>C</v>
          </cell>
          <cell r="U46" t="str">
            <v>C</v>
          </cell>
          <cell r="AF46" t="e">
            <v>#DIV/0!</v>
          </cell>
        </row>
        <row r="47">
          <cell r="B47">
            <v>13</v>
          </cell>
          <cell r="C47">
            <v>3545</v>
          </cell>
          <cell r="D47" t="str">
            <v>Firman Tendrian Tindri</v>
          </cell>
          <cell r="E47" t="str">
            <v>3545A</v>
          </cell>
          <cell r="F47" t="str">
            <v>Peng.</v>
          </cell>
          <cell r="G47">
            <v>85</v>
          </cell>
          <cell r="H47">
            <v>83</v>
          </cell>
          <cell r="I47">
            <v>83</v>
          </cell>
          <cell r="J47">
            <v>74</v>
          </cell>
          <cell r="K47">
            <v>63</v>
          </cell>
          <cell r="L47">
            <v>65</v>
          </cell>
          <cell r="M47">
            <v>60</v>
          </cell>
          <cell r="N47">
            <v>57</v>
          </cell>
          <cell r="O47">
            <v>77</v>
          </cell>
          <cell r="P47">
            <v>77</v>
          </cell>
          <cell r="Q47">
            <v>77</v>
          </cell>
          <cell r="R47">
            <v>77</v>
          </cell>
          <cell r="S47">
            <v>77</v>
          </cell>
          <cell r="T47">
            <v>77</v>
          </cell>
          <cell r="U47">
            <v>77</v>
          </cell>
          <cell r="AF47">
            <v>73.933333333333337</v>
          </cell>
        </row>
        <row r="48">
          <cell r="E48" t="str">
            <v>3545B</v>
          </cell>
          <cell r="F48" t="str">
            <v>Prak.</v>
          </cell>
          <cell r="G48">
            <v>85</v>
          </cell>
          <cell r="H48">
            <v>83</v>
          </cell>
          <cell r="I48">
            <v>83</v>
          </cell>
          <cell r="J48">
            <v>74</v>
          </cell>
          <cell r="K48">
            <v>63</v>
          </cell>
          <cell r="L48">
            <v>65</v>
          </cell>
          <cell r="M48">
            <v>60</v>
          </cell>
          <cell r="N48">
            <v>57</v>
          </cell>
          <cell r="O48">
            <v>77</v>
          </cell>
          <cell r="P48">
            <v>77</v>
          </cell>
          <cell r="Q48">
            <v>77</v>
          </cell>
          <cell r="R48">
            <v>77</v>
          </cell>
          <cell r="S48">
            <v>77</v>
          </cell>
          <cell r="T48">
            <v>77</v>
          </cell>
          <cell r="U48">
            <v>77</v>
          </cell>
          <cell r="AF48">
            <v>73.933333333333337</v>
          </cell>
        </row>
        <row r="49">
          <cell r="E49" t="str">
            <v>3545C</v>
          </cell>
          <cell r="F49" t="str">
            <v>Sikap</v>
          </cell>
          <cell r="G49" t="str">
            <v>SB</v>
          </cell>
          <cell r="H49" t="str">
            <v>SB</v>
          </cell>
          <cell r="I49" t="str">
            <v>B</v>
          </cell>
          <cell r="J49" t="str">
            <v>B</v>
          </cell>
          <cell r="K49" t="str">
            <v>B</v>
          </cell>
          <cell r="L49" t="str">
            <v>C</v>
          </cell>
          <cell r="M49" t="str">
            <v>SB</v>
          </cell>
          <cell r="N49" t="str">
            <v>B</v>
          </cell>
          <cell r="O49" t="str">
            <v>C</v>
          </cell>
          <cell r="P49" t="str">
            <v>C</v>
          </cell>
          <cell r="Q49" t="str">
            <v>C</v>
          </cell>
          <cell r="R49" t="str">
            <v>C</v>
          </cell>
          <cell r="S49" t="str">
            <v>C</v>
          </cell>
          <cell r="T49" t="str">
            <v>C</v>
          </cell>
          <cell r="U49" t="str">
            <v>C</v>
          </cell>
          <cell r="AF49" t="e">
            <v>#DIV/0!</v>
          </cell>
        </row>
        <row r="50">
          <cell r="B50">
            <v>14</v>
          </cell>
          <cell r="C50">
            <v>3512</v>
          </cell>
          <cell r="D50" t="str">
            <v>Husnul Khotimah</v>
          </cell>
          <cell r="E50" t="str">
            <v>3512A</v>
          </cell>
          <cell r="F50" t="str">
            <v>Peng.</v>
          </cell>
          <cell r="G50">
            <v>85</v>
          </cell>
          <cell r="H50">
            <v>83</v>
          </cell>
          <cell r="I50">
            <v>83</v>
          </cell>
          <cell r="J50">
            <v>74</v>
          </cell>
          <cell r="K50">
            <v>63</v>
          </cell>
          <cell r="L50">
            <v>65</v>
          </cell>
          <cell r="M50">
            <v>60</v>
          </cell>
          <cell r="N50">
            <v>57</v>
          </cell>
          <cell r="O50">
            <v>77</v>
          </cell>
          <cell r="P50">
            <v>77</v>
          </cell>
          <cell r="Q50">
            <v>77</v>
          </cell>
          <cell r="R50">
            <v>77</v>
          </cell>
          <cell r="S50">
            <v>77</v>
          </cell>
          <cell r="T50">
            <v>77</v>
          </cell>
          <cell r="U50">
            <v>77</v>
          </cell>
          <cell r="AF50">
            <v>73.933333333333337</v>
          </cell>
        </row>
        <row r="51">
          <cell r="E51" t="str">
            <v>3512B</v>
          </cell>
          <cell r="F51" t="str">
            <v>Prak.</v>
          </cell>
          <cell r="G51">
            <v>85</v>
          </cell>
          <cell r="H51">
            <v>83</v>
          </cell>
          <cell r="I51">
            <v>83</v>
          </cell>
          <cell r="J51">
            <v>74</v>
          </cell>
          <cell r="K51">
            <v>63</v>
          </cell>
          <cell r="L51">
            <v>65</v>
          </cell>
          <cell r="M51">
            <v>60</v>
          </cell>
          <cell r="N51">
            <v>57</v>
          </cell>
          <cell r="O51">
            <v>77</v>
          </cell>
          <cell r="P51">
            <v>77</v>
          </cell>
          <cell r="Q51">
            <v>77</v>
          </cell>
          <cell r="R51">
            <v>77</v>
          </cell>
          <cell r="S51">
            <v>77</v>
          </cell>
          <cell r="T51">
            <v>77</v>
          </cell>
          <cell r="U51">
            <v>77</v>
          </cell>
          <cell r="AF51">
            <v>73.933333333333337</v>
          </cell>
        </row>
        <row r="52">
          <cell r="E52" t="str">
            <v>3512C</v>
          </cell>
          <cell r="F52" t="str">
            <v>Sikap</v>
          </cell>
          <cell r="G52" t="str">
            <v>SB</v>
          </cell>
          <cell r="H52" t="str">
            <v>SB</v>
          </cell>
          <cell r="I52" t="str">
            <v>B</v>
          </cell>
          <cell r="J52" t="str">
            <v>B</v>
          </cell>
          <cell r="K52" t="str">
            <v>B</v>
          </cell>
          <cell r="L52" t="str">
            <v>C</v>
          </cell>
          <cell r="M52" t="str">
            <v>SB</v>
          </cell>
          <cell r="N52" t="str">
            <v>B</v>
          </cell>
          <cell r="O52" t="str">
            <v>C</v>
          </cell>
          <cell r="P52" t="str">
            <v>C</v>
          </cell>
          <cell r="Q52" t="str">
            <v>C</v>
          </cell>
          <cell r="R52" t="str">
            <v>C</v>
          </cell>
          <cell r="S52" t="str">
            <v>C</v>
          </cell>
          <cell r="T52" t="str">
            <v>C</v>
          </cell>
          <cell r="U52" t="str">
            <v>C</v>
          </cell>
          <cell r="AF52" t="e">
            <v>#DIV/0!</v>
          </cell>
        </row>
        <row r="53">
          <cell r="B53">
            <v>15</v>
          </cell>
          <cell r="C53">
            <v>3548</v>
          </cell>
          <cell r="D53" t="str">
            <v>Irdawati</v>
          </cell>
          <cell r="E53" t="str">
            <v>3548A</v>
          </cell>
          <cell r="F53" t="str">
            <v>Peng.</v>
          </cell>
          <cell r="G53">
            <v>85</v>
          </cell>
          <cell r="H53">
            <v>83</v>
          </cell>
          <cell r="I53">
            <v>83</v>
          </cell>
          <cell r="J53">
            <v>74</v>
          </cell>
          <cell r="K53">
            <v>63</v>
          </cell>
          <cell r="L53">
            <v>65</v>
          </cell>
          <cell r="M53">
            <v>60</v>
          </cell>
          <cell r="N53">
            <v>57</v>
          </cell>
          <cell r="O53">
            <v>77</v>
          </cell>
          <cell r="P53">
            <v>77</v>
          </cell>
          <cell r="Q53">
            <v>77</v>
          </cell>
          <cell r="R53">
            <v>77</v>
          </cell>
          <cell r="S53">
            <v>77</v>
          </cell>
          <cell r="T53">
            <v>77</v>
          </cell>
          <cell r="U53">
            <v>77</v>
          </cell>
          <cell r="Z53" t="str">
            <v>KOPSIS</v>
          </cell>
          <cell r="AA53" t="str">
            <v>Baik</v>
          </cell>
          <cell r="AB53" t="str">
            <v>Menguasai pembelian, penjualan dan laporan keuangan dengan baik</v>
          </cell>
          <cell r="AF53">
            <v>73.933333333333337</v>
          </cell>
        </row>
        <row r="54">
          <cell r="E54" t="str">
            <v>3548B</v>
          </cell>
          <cell r="F54" t="str">
            <v>Prak.</v>
          </cell>
          <cell r="G54">
            <v>85</v>
          </cell>
          <cell r="H54">
            <v>83</v>
          </cell>
          <cell r="I54">
            <v>83</v>
          </cell>
          <cell r="J54">
            <v>74</v>
          </cell>
          <cell r="K54">
            <v>63</v>
          </cell>
          <cell r="L54">
            <v>65</v>
          </cell>
          <cell r="M54">
            <v>60</v>
          </cell>
          <cell r="N54">
            <v>57</v>
          </cell>
          <cell r="O54">
            <v>77</v>
          </cell>
          <cell r="P54">
            <v>77</v>
          </cell>
          <cell r="Q54">
            <v>77</v>
          </cell>
          <cell r="R54">
            <v>77</v>
          </cell>
          <cell r="S54">
            <v>77</v>
          </cell>
          <cell r="T54">
            <v>77</v>
          </cell>
          <cell r="U54">
            <v>77</v>
          </cell>
          <cell r="AF54">
            <v>73.933333333333337</v>
          </cell>
        </row>
        <row r="55">
          <cell r="E55" t="str">
            <v>3548C</v>
          </cell>
          <cell r="F55" t="str">
            <v>Sikap</v>
          </cell>
          <cell r="G55" t="str">
            <v>SB</v>
          </cell>
          <cell r="H55" t="str">
            <v>SB</v>
          </cell>
          <cell r="I55" t="str">
            <v>B</v>
          </cell>
          <cell r="J55" t="str">
            <v>B</v>
          </cell>
          <cell r="K55" t="str">
            <v>B</v>
          </cell>
          <cell r="L55" t="str">
            <v>C</v>
          </cell>
          <cell r="M55" t="str">
            <v>SB</v>
          </cell>
          <cell r="N55" t="str">
            <v>B</v>
          </cell>
          <cell r="O55" t="str">
            <v>C</v>
          </cell>
          <cell r="P55" t="str">
            <v>C</v>
          </cell>
          <cell r="Q55" t="str">
            <v>C</v>
          </cell>
          <cell r="R55" t="str">
            <v>C</v>
          </cell>
          <cell r="S55" t="str">
            <v>C</v>
          </cell>
          <cell r="T55" t="str">
            <v>C</v>
          </cell>
          <cell r="U55" t="str">
            <v>C</v>
          </cell>
          <cell r="AF55" t="e">
            <v>#DIV/0!</v>
          </cell>
        </row>
        <row r="56">
          <cell r="B56">
            <v>16</v>
          </cell>
          <cell r="C56">
            <v>3472</v>
          </cell>
          <cell r="D56" t="str">
            <v>Irma Ardini</v>
          </cell>
          <cell r="E56" t="str">
            <v>3472A</v>
          </cell>
          <cell r="F56" t="str">
            <v>Peng.</v>
          </cell>
          <cell r="G56">
            <v>85</v>
          </cell>
          <cell r="H56">
            <v>83</v>
          </cell>
          <cell r="I56">
            <v>83</v>
          </cell>
          <cell r="J56">
            <v>74</v>
          </cell>
          <cell r="K56">
            <v>63</v>
          </cell>
          <cell r="L56">
            <v>65</v>
          </cell>
          <cell r="M56">
            <v>60</v>
          </cell>
          <cell r="N56">
            <v>57</v>
          </cell>
          <cell r="O56">
            <v>77</v>
          </cell>
          <cell r="P56">
            <v>77</v>
          </cell>
          <cell r="Q56">
            <v>77</v>
          </cell>
          <cell r="R56">
            <v>77</v>
          </cell>
          <cell r="S56">
            <v>77</v>
          </cell>
          <cell r="T56">
            <v>77</v>
          </cell>
          <cell r="U56">
            <v>77</v>
          </cell>
          <cell r="Z56" t="str">
            <v>Paskibra</v>
          </cell>
          <cell r="AA56" t="str">
            <v>Amat Baik</v>
          </cell>
          <cell r="AF56">
            <v>73.933333333333337</v>
          </cell>
        </row>
        <row r="57">
          <cell r="E57" t="str">
            <v>3472B</v>
          </cell>
          <cell r="F57" t="str">
            <v>Prak.</v>
          </cell>
          <cell r="G57">
            <v>85</v>
          </cell>
          <cell r="H57">
            <v>83</v>
          </cell>
          <cell r="I57">
            <v>83</v>
          </cell>
          <cell r="J57">
            <v>74</v>
          </cell>
          <cell r="K57">
            <v>63</v>
          </cell>
          <cell r="L57">
            <v>65</v>
          </cell>
          <cell r="M57">
            <v>60</v>
          </cell>
          <cell r="N57">
            <v>57</v>
          </cell>
          <cell r="O57">
            <v>77</v>
          </cell>
          <cell r="P57">
            <v>77</v>
          </cell>
          <cell r="Q57">
            <v>77</v>
          </cell>
          <cell r="R57">
            <v>77</v>
          </cell>
          <cell r="S57">
            <v>77</v>
          </cell>
          <cell r="T57">
            <v>77</v>
          </cell>
          <cell r="U57">
            <v>77</v>
          </cell>
          <cell r="AF57">
            <v>73.933333333333337</v>
          </cell>
        </row>
        <row r="58">
          <cell r="E58" t="str">
            <v>3472C</v>
          </cell>
          <cell r="F58" t="str">
            <v>Sikap</v>
          </cell>
          <cell r="G58" t="str">
            <v>SB</v>
          </cell>
          <cell r="H58" t="str">
            <v>SB</v>
          </cell>
          <cell r="I58" t="str">
            <v>B</v>
          </cell>
          <cell r="J58" t="str">
            <v>B</v>
          </cell>
          <cell r="K58" t="str">
            <v>B</v>
          </cell>
          <cell r="L58" t="str">
            <v>C</v>
          </cell>
          <cell r="M58" t="str">
            <v>SB</v>
          </cell>
          <cell r="N58" t="str">
            <v>B</v>
          </cell>
          <cell r="O58" t="str">
            <v>C</v>
          </cell>
          <cell r="P58" t="str">
            <v>C</v>
          </cell>
          <cell r="Q58" t="str">
            <v>C</v>
          </cell>
          <cell r="R58" t="str">
            <v>C</v>
          </cell>
          <cell r="S58" t="str">
            <v>C</v>
          </cell>
          <cell r="T58" t="str">
            <v>C</v>
          </cell>
          <cell r="U58" t="str">
            <v>C</v>
          </cell>
          <cell r="AF58" t="e">
            <v>#DIV/0!</v>
          </cell>
        </row>
        <row r="59">
          <cell r="B59">
            <v>17</v>
          </cell>
          <cell r="C59">
            <v>3551</v>
          </cell>
          <cell r="D59" t="str">
            <v>Ladies Latifah</v>
          </cell>
          <cell r="E59" t="str">
            <v>3551A</v>
          </cell>
          <cell r="F59" t="str">
            <v>Peng.</v>
          </cell>
          <cell r="G59">
            <v>85</v>
          </cell>
          <cell r="H59">
            <v>83</v>
          </cell>
          <cell r="I59">
            <v>83</v>
          </cell>
          <cell r="J59">
            <v>74</v>
          </cell>
          <cell r="K59">
            <v>63</v>
          </cell>
          <cell r="L59">
            <v>65</v>
          </cell>
          <cell r="M59">
            <v>60</v>
          </cell>
          <cell r="N59">
            <v>57</v>
          </cell>
          <cell r="O59">
            <v>77</v>
          </cell>
          <cell r="P59">
            <v>77</v>
          </cell>
          <cell r="Q59">
            <v>77</v>
          </cell>
          <cell r="R59">
            <v>77</v>
          </cell>
          <cell r="S59">
            <v>77</v>
          </cell>
          <cell r="T59">
            <v>77</v>
          </cell>
          <cell r="U59">
            <v>77</v>
          </cell>
          <cell r="AF59">
            <v>73.933333333333337</v>
          </cell>
        </row>
        <row r="60">
          <cell r="E60" t="str">
            <v>3551B</v>
          </cell>
          <cell r="F60" t="str">
            <v>Prak.</v>
          </cell>
          <cell r="G60">
            <v>85</v>
          </cell>
          <cell r="H60">
            <v>83</v>
          </cell>
          <cell r="I60">
            <v>83</v>
          </cell>
          <cell r="J60">
            <v>74</v>
          </cell>
          <cell r="K60">
            <v>63</v>
          </cell>
          <cell r="L60">
            <v>65</v>
          </cell>
          <cell r="M60">
            <v>60</v>
          </cell>
          <cell r="N60">
            <v>57</v>
          </cell>
          <cell r="O60">
            <v>77</v>
          </cell>
          <cell r="P60">
            <v>77</v>
          </cell>
          <cell r="Q60">
            <v>77</v>
          </cell>
          <cell r="R60">
            <v>77</v>
          </cell>
          <cell r="S60">
            <v>77</v>
          </cell>
          <cell r="T60">
            <v>77</v>
          </cell>
          <cell r="U60">
            <v>77</v>
          </cell>
          <cell r="AF60">
            <v>73.933333333333337</v>
          </cell>
        </row>
        <row r="61">
          <cell r="E61" t="str">
            <v>3551C</v>
          </cell>
          <cell r="F61" t="str">
            <v>Sikap</v>
          </cell>
          <cell r="G61" t="str">
            <v>SB</v>
          </cell>
          <cell r="H61" t="str">
            <v>SB</v>
          </cell>
          <cell r="I61" t="str">
            <v>B</v>
          </cell>
          <cell r="J61" t="str">
            <v>B</v>
          </cell>
          <cell r="K61" t="str">
            <v>B</v>
          </cell>
          <cell r="L61" t="str">
            <v>C</v>
          </cell>
          <cell r="M61" t="str">
            <v>SB</v>
          </cell>
          <cell r="N61" t="str">
            <v>B</v>
          </cell>
          <cell r="O61" t="str">
            <v>C</v>
          </cell>
          <cell r="P61" t="str">
            <v>C</v>
          </cell>
          <cell r="Q61" t="str">
            <v>C</v>
          </cell>
          <cell r="R61" t="str">
            <v>C</v>
          </cell>
          <cell r="S61" t="str">
            <v>C</v>
          </cell>
          <cell r="T61" t="str">
            <v>C</v>
          </cell>
          <cell r="U61" t="str">
            <v>C</v>
          </cell>
          <cell r="AF61" t="e">
            <v>#DIV/0!</v>
          </cell>
        </row>
        <row r="62">
          <cell r="B62">
            <v>18</v>
          </cell>
          <cell r="C62">
            <v>3433</v>
          </cell>
          <cell r="D62" t="str">
            <v>Mahmuddin Bashar</v>
          </cell>
          <cell r="E62" t="str">
            <v>3433A</v>
          </cell>
          <cell r="F62" t="str">
            <v>Peng.</v>
          </cell>
          <cell r="G62">
            <v>85</v>
          </cell>
          <cell r="H62">
            <v>83</v>
          </cell>
          <cell r="I62">
            <v>83</v>
          </cell>
          <cell r="J62">
            <v>74</v>
          </cell>
          <cell r="K62">
            <v>63</v>
          </cell>
          <cell r="L62">
            <v>65</v>
          </cell>
          <cell r="M62">
            <v>60</v>
          </cell>
          <cell r="N62">
            <v>57</v>
          </cell>
          <cell r="O62">
            <v>77</v>
          </cell>
          <cell r="P62">
            <v>77</v>
          </cell>
          <cell r="Q62">
            <v>77</v>
          </cell>
          <cell r="R62">
            <v>77</v>
          </cell>
          <cell r="S62">
            <v>77</v>
          </cell>
          <cell r="T62">
            <v>77</v>
          </cell>
          <cell r="U62">
            <v>77</v>
          </cell>
          <cell r="AF62">
            <v>73.933333333333337</v>
          </cell>
        </row>
        <row r="63">
          <cell r="E63" t="str">
            <v>3433B</v>
          </cell>
          <cell r="F63" t="str">
            <v>Prak.</v>
          </cell>
          <cell r="G63">
            <v>85</v>
          </cell>
          <cell r="H63">
            <v>83</v>
          </cell>
          <cell r="I63">
            <v>83</v>
          </cell>
          <cell r="J63">
            <v>74</v>
          </cell>
          <cell r="K63">
            <v>63</v>
          </cell>
          <cell r="L63">
            <v>65</v>
          </cell>
          <cell r="M63">
            <v>60</v>
          </cell>
          <cell r="N63">
            <v>57</v>
          </cell>
          <cell r="O63">
            <v>77</v>
          </cell>
          <cell r="P63">
            <v>77</v>
          </cell>
          <cell r="Q63">
            <v>77</v>
          </cell>
          <cell r="R63">
            <v>77</v>
          </cell>
          <cell r="S63">
            <v>77</v>
          </cell>
          <cell r="T63">
            <v>77</v>
          </cell>
          <cell r="U63">
            <v>77</v>
          </cell>
          <cell r="AF63">
            <v>73.933333333333337</v>
          </cell>
        </row>
        <row r="64">
          <cell r="E64" t="str">
            <v>3433C</v>
          </cell>
          <cell r="F64" t="str">
            <v>Sikap</v>
          </cell>
          <cell r="G64" t="str">
            <v>SB</v>
          </cell>
          <cell r="H64" t="str">
            <v>SB</v>
          </cell>
          <cell r="I64" t="str">
            <v>B</v>
          </cell>
          <cell r="J64" t="str">
            <v>B</v>
          </cell>
          <cell r="K64" t="str">
            <v>B</v>
          </cell>
          <cell r="L64" t="str">
            <v>C</v>
          </cell>
          <cell r="M64" t="str">
            <v>SB</v>
          </cell>
          <cell r="N64" t="str">
            <v>B</v>
          </cell>
          <cell r="O64" t="str">
            <v>C</v>
          </cell>
          <cell r="P64" t="str">
            <v>C</v>
          </cell>
          <cell r="Q64" t="str">
            <v>C</v>
          </cell>
          <cell r="R64" t="str">
            <v>C</v>
          </cell>
          <cell r="S64" t="str">
            <v>C</v>
          </cell>
          <cell r="T64" t="str">
            <v>C</v>
          </cell>
          <cell r="U64" t="str">
            <v>C</v>
          </cell>
          <cell r="AF64" t="e">
            <v>#DIV/0!</v>
          </cell>
        </row>
        <row r="65">
          <cell r="B65">
            <v>19</v>
          </cell>
          <cell r="C65">
            <v>3434</v>
          </cell>
          <cell r="D65" t="str">
            <v>Meilan Novita Sari</v>
          </cell>
          <cell r="E65" t="str">
            <v>3434A</v>
          </cell>
          <cell r="F65" t="str">
            <v>Peng.</v>
          </cell>
          <cell r="G65">
            <v>85</v>
          </cell>
          <cell r="H65">
            <v>83</v>
          </cell>
          <cell r="I65">
            <v>83</v>
          </cell>
          <cell r="J65">
            <v>74</v>
          </cell>
          <cell r="K65">
            <v>63</v>
          </cell>
          <cell r="L65">
            <v>65</v>
          </cell>
          <cell r="M65">
            <v>60</v>
          </cell>
          <cell r="N65">
            <v>57</v>
          </cell>
          <cell r="O65">
            <v>77</v>
          </cell>
          <cell r="P65">
            <v>77</v>
          </cell>
          <cell r="Q65">
            <v>77</v>
          </cell>
          <cell r="R65">
            <v>77</v>
          </cell>
          <cell r="S65">
            <v>77</v>
          </cell>
          <cell r="T65">
            <v>77</v>
          </cell>
          <cell r="U65">
            <v>77</v>
          </cell>
          <cell r="AF65">
            <v>73.933333333333337</v>
          </cell>
        </row>
        <row r="66">
          <cell r="E66" t="str">
            <v>3434B</v>
          </cell>
          <cell r="F66" t="str">
            <v>Prak.</v>
          </cell>
          <cell r="G66">
            <v>85</v>
          </cell>
          <cell r="H66">
            <v>83</v>
          </cell>
          <cell r="I66">
            <v>83</v>
          </cell>
          <cell r="J66">
            <v>74</v>
          </cell>
          <cell r="K66">
            <v>63</v>
          </cell>
          <cell r="L66">
            <v>65</v>
          </cell>
          <cell r="M66">
            <v>60</v>
          </cell>
          <cell r="N66">
            <v>57</v>
          </cell>
          <cell r="O66">
            <v>77</v>
          </cell>
          <cell r="P66">
            <v>77</v>
          </cell>
          <cell r="Q66">
            <v>77</v>
          </cell>
          <cell r="R66">
            <v>77</v>
          </cell>
          <cell r="S66">
            <v>77</v>
          </cell>
          <cell r="T66">
            <v>77</v>
          </cell>
          <cell r="U66">
            <v>77</v>
          </cell>
          <cell r="AF66">
            <v>73.933333333333337</v>
          </cell>
        </row>
        <row r="67">
          <cell r="E67" t="str">
            <v>3434C</v>
          </cell>
          <cell r="F67" t="str">
            <v>Sikap</v>
          </cell>
          <cell r="G67" t="str">
            <v>SB</v>
          </cell>
          <cell r="H67" t="str">
            <v>SB</v>
          </cell>
          <cell r="I67" t="str">
            <v>B</v>
          </cell>
          <cell r="J67" t="str">
            <v>B</v>
          </cell>
          <cell r="K67" t="str">
            <v>B</v>
          </cell>
          <cell r="L67" t="str">
            <v>C</v>
          </cell>
          <cell r="M67" t="str">
            <v>SB</v>
          </cell>
          <cell r="N67" t="str">
            <v>B</v>
          </cell>
          <cell r="O67" t="str">
            <v>C</v>
          </cell>
          <cell r="P67" t="str">
            <v>C</v>
          </cell>
          <cell r="Q67" t="str">
            <v>C</v>
          </cell>
          <cell r="R67" t="str">
            <v>C</v>
          </cell>
          <cell r="S67" t="str">
            <v>C</v>
          </cell>
          <cell r="T67" t="str">
            <v>C</v>
          </cell>
          <cell r="U67" t="str">
            <v>C</v>
          </cell>
          <cell r="AF67" t="e">
            <v>#DIV/0!</v>
          </cell>
        </row>
        <row r="68">
          <cell r="B68">
            <v>20</v>
          </cell>
          <cell r="C68">
            <v>3594</v>
          </cell>
          <cell r="D68" t="str">
            <v>Meirisa Indah Pratiwi</v>
          </cell>
          <cell r="E68" t="str">
            <v>3594A</v>
          </cell>
          <cell r="F68" t="str">
            <v>Peng.</v>
          </cell>
          <cell r="G68">
            <v>85</v>
          </cell>
          <cell r="H68">
            <v>83</v>
          </cell>
          <cell r="I68">
            <v>83</v>
          </cell>
          <cell r="J68">
            <v>74</v>
          </cell>
          <cell r="K68">
            <v>63</v>
          </cell>
          <cell r="L68">
            <v>65</v>
          </cell>
          <cell r="M68">
            <v>60</v>
          </cell>
          <cell r="N68">
            <v>57</v>
          </cell>
          <cell r="O68">
            <v>77</v>
          </cell>
          <cell r="P68">
            <v>77</v>
          </cell>
          <cell r="Q68">
            <v>77</v>
          </cell>
          <cell r="R68">
            <v>77</v>
          </cell>
          <cell r="S68">
            <v>77</v>
          </cell>
          <cell r="T68">
            <v>77</v>
          </cell>
          <cell r="U68">
            <v>77</v>
          </cell>
          <cell r="Z68" t="str">
            <v>Paskibra</v>
          </cell>
          <cell r="AA68" t="str">
            <v>Amat Baik</v>
          </cell>
          <cell r="AF68">
            <v>73.933333333333337</v>
          </cell>
        </row>
        <row r="69">
          <cell r="E69" t="str">
            <v>3594B</v>
          </cell>
          <cell r="F69" t="str">
            <v>Prak.</v>
          </cell>
          <cell r="G69">
            <v>85</v>
          </cell>
          <cell r="H69">
            <v>83</v>
          </cell>
          <cell r="I69">
            <v>83</v>
          </cell>
          <cell r="J69">
            <v>74</v>
          </cell>
          <cell r="K69">
            <v>63</v>
          </cell>
          <cell r="L69">
            <v>65</v>
          </cell>
          <cell r="M69">
            <v>60</v>
          </cell>
          <cell r="N69">
            <v>57</v>
          </cell>
          <cell r="O69">
            <v>77</v>
          </cell>
          <cell r="P69">
            <v>77</v>
          </cell>
          <cell r="Q69">
            <v>77</v>
          </cell>
          <cell r="R69">
            <v>77</v>
          </cell>
          <cell r="S69">
            <v>77</v>
          </cell>
          <cell r="T69">
            <v>77</v>
          </cell>
          <cell r="U69">
            <v>77</v>
          </cell>
          <cell r="AF69">
            <v>73.933333333333337</v>
          </cell>
        </row>
        <row r="70">
          <cell r="E70" t="str">
            <v>3594C</v>
          </cell>
          <cell r="F70" t="str">
            <v>Sikap</v>
          </cell>
          <cell r="G70" t="str">
            <v>SB</v>
          </cell>
          <cell r="H70" t="str">
            <v>SB</v>
          </cell>
          <cell r="I70" t="str">
            <v>B</v>
          </cell>
          <cell r="J70" t="str">
            <v>B</v>
          </cell>
          <cell r="K70" t="str">
            <v>B</v>
          </cell>
          <cell r="L70" t="str">
            <v>C</v>
          </cell>
          <cell r="M70" t="str">
            <v>SB</v>
          </cell>
          <cell r="N70" t="str">
            <v>B</v>
          </cell>
          <cell r="O70" t="str">
            <v>C</v>
          </cell>
          <cell r="P70" t="str">
            <v>C</v>
          </cell>
          <cell r="Q70" t="str">
            <v>C</v>
          </cell>
          <cell r="R70" t="str">
            <v>C</v>
          </cell>
          <cell r="S70" t="str">
            <v>C</v>
          </cell>
          <cell r="T70" t="str">
            <v>C</v>
          </cell>
          <cell r="U70" t="str">
            <v>C</v>
          </cell>
          <cell r="AF70" t="e">
            <v>#DIV/0!</v>
          </cell>
        </row>
        <row r="71">
          <cell r="B71">
            <v>21</v>
          </cell>
          <cell r="C71">
            <v>3437</v>
          </cell>
          <cell r="D71" t="str">
            <v>Mina Fitriah</v>
          </cell>
          <cell r="E71" t="str">
            <v>3437A</v>
          </cell>
          <cell r="F71" t="str">
            <v>Peng.</v>
          </cell>
          <cell r="G71">
            <v>85</v>
          </cell>
          <cell r="H71">
            <v>83</v>
          </cell>
          <cell r="I71">
            <v>83</v>
          </cell>
          <cell r="J71">
            <v>74</v>
          </cell>
          <cell r="K71">
            <v>63</v>
          </cell>
          <cell r="L71">
            <v>65</v>
          </cell>
          <cell r="M71">
            <v>60</v>
          </cell>
          <cell r="N71">
            <v>57</v>
          </cell>
          <cell r="O71">
            <v>77</v>
          </cell>
          <cell r="P71">
            <v>77</v>
          </cell>
          <cell r="Q71">
            <v>77</v>
          </cell>
          <cell r="R71">
            <v>77</v>
          </cell>
          <cell r="S71">
            <v>77</v>
          </cell>
          <cell r="T71">
            <v>77</v>
          </cell>
          <cell r="U71">
            <v>77</v>
          </cell>
          <cell r="AF71">
            <v>73.933333333333337</v>
          </cell>
        </row>
        <row r="72">
          <cell r="E72" t="str">
            <v>3437B</v>
          </cell>
          <cell r="F72" t="str">
            <v>Prak.</v>
          </cell>
          <cell r="G72">
            <v>85</v>
          </cell>
          <cell r="H72">
            <v>83</v>
          </cell>
          <cell r="I72">
            <v>83</v>
          </cell>
          <cell r="J72">
            <v>74</v>
          </cell>
          <cell r="K72">
            <v>63</v>
          </cell>
          <cell r="L72">
            <v>65</v>
          </cell>
          <cell r="M72">
            <v>60</v>
          </cell>
          <cell r="N72">
            <v>57</v>
          </cell>
          <cell r="O72">
            <v>77</v>
          </cell>
          <cell r="P72">
            <v>77</v>
          </cell>
          <cell r="Q72">
            <v>77</v>
          </cell>
          <cell r="R72">
            <v>77</v>
          </cell>
          <cell r="S72">
            <v>77</v>
          </cell>
          <cell r="T72">
            <v>77</v>
          </cell>
          <cell r="U72">
            <v>77</v>
          </cell>
          <cell r="AF72">
            <v>73.933333333333337</v>
          </cell>
        </row>
        <row r="73">
          <cell r="E73" t="str">
            <v>3437C</v>
          </cell>
          <cell r="F73" t="str">
            <v>Sikap</v>
          </cell>
          <cell r="G73" t="str">
            <v>SB</v>
          </cell>
          <cell r="H73" t="str">
            <v>SB</v>
          </cell>
          <cell r="I73" t="str">
            <v>B</v>
          </cell>
          <cell r="J73" t="str">
            <v>B</v>
          </cell>
          <cell r="K73" t="str">
            <v>B</v>
          </cell>
          <cell r="L73" t="str">
            <v>C</v>
          </cell>
          <cell r="M73" t="str">
            <v>SB</v>
          </cell>
          <cell r="N73" t="str">
            <v>B</v>
          </cell>
          <cell r="O73" t="str">
            <v>C</v>
          </cell>
          <cell r="P73" t="str">
            <v>C</v>
          </cell>
          <cell r="Q73" t="str">
            <v>C</v>
          </cell>
          <cell r="R73" t="str">
            <v>C</v>
          </cell>
          <cell r="S73" t="str">
            <v>C</v>
          </cell>
          <cell r="T73" t="str">
            <v>C</v>
          </cell>
          <cell r="U73" t="str">
            <v>C</v>
          </cell>
          <cell r="AF73" t="e">
            <v>#DIV/0!</v>
          </cell>
        </row>
        <row r="74">
          <cell r="B74">
            <v>22</v>
          </cell>
          <cell r="C74">
            <v>3426</v>
          </cell>
          <cell r="D74" t="str">
            <v>Mifta Churohma</v>
          </cell>
          <cell r="E74" t="str">
            <v>3426A</v>
          </cell>
          <cell r="F74" t="str">
            <v>Peng.</v>
          </cell>
          <cell r="G74">
            <v>85</v>
          </cell>
          <cell r="H74">
            <v>83</v>
          </cell>
          <cell r="I74">
            <v>83</v>
          </cell>
          <cell r="J74">
            <v>74</v>
          </cell>
          <cell r="K74">
            <v>63</v>
          </cell>
          <cell r="L74">
            <v>65</v>
          </cell>
          <cell r="M74">
            <v>60</v>
          </cell>
          <cell r="N74">
            <v>57</v>
          </cell>
          <cell r="O74">
            <v>77</v>
          </cell>
          <cell r="P74">
            <v>77</v>
          </cell>
          <cell r="Q74">
            <v>77</v>
          </cell>
          <cell r="R74">
            <v>77</v>
          </cell>
          <cell r="S74">
            <v>77</v>
          </cell>
          <cell r="T74">
            <v>77</v>
          </cell>
          <cell r="U74">
            <v>77</v>
          </cell>
          <cell r="AF74">
            <v>73.933333333333337</v>
          </cell>
        </row>
        <row r="75">
          <cell r="E75" t="str">
            <v>3426B</v>
          </cell>
          <cell r="F75" t="str">
            <v>Prak.</v>
          </cell>
          <cell r="G75">
            <v>85</v>
          </cell>
          <cell r="H75">
            <v>83</v>
          </cell>
          <cell r="I75">
            <v>83</v>
          </cell>
          <cell r="J75">
            <v>74</v>
          </cell>
          <cell r="K75">
            <v>63</v>
          </cell>
          <cell r="L75">
            <v>65</v>
          </cell>
          <cell r="M75">
            <v>60</v>
          </cell>
          <cell r="N75">
            <v>57</v>
          </cell>
          <cell r="O75">
            <v>77</v>
          </cell>
          <cell r="P75">
            <v>77</v>
          </cell>
          <cell r="Q75">
            <v>77</v>
          </cell>
          <cell r="R75">
            <v>77</v>
          </cell>
          <cell r="S75">
            <v>77</v>
          </cell>
          <cell r="T75">
            <v>77</v>
          </cell>
          <cell r="U75">
            <v>77</v>
          </cell>
          <cell r="AF75">
            <v>73.933333333333337</v>
          </cell>
        </row>
        <row r="76">
          <cell r="E76" t="str">
            <v>3426C</v>
          </cell>
          <cell r="F76" t="str">
            <v>Sikap</v>
          </cell>
          <cell r="G76" t="str">
            <v>SB</v>
          </cell>
          <cell r="H76" t="str">
            <v>SB</v>
          </cell>
          <cell r="I76" t="str">
            <v>B</v>
          </cell>
          <cell r="J76" t="str">
            <v>B</v>
          </cell>
          <cell r="K76" t="str">
            <v>B</v>
          </cell>
          <cell r="L76" t="str">
            <v>C</v>
          </cell>
          <cell r="M76" t="str">
            <v>SB</v>
          </cell>
          <cell r="N76" t="str">
            <v>B</v>
          </cell>
          <cell r="O76" t="str">
            <v>C</v>
          </cell>
          <cell r="P76" t="str">
            <v>C</v>
          </cell>
          <cell r="Q76" t="str">
            <v>C</v>
          </cell>
          <cell r="R76" t="str">
            <v>C</v>
          </cell>
          <cell r="S76" t="str">
            <v>C</v>
          </cell>
          <cell r="T76" t="str">
            <v>C</v>
          </cell>
          <cell r="U76" t="str">
            <v>C</v>
          </cell>
          <cell r="AF76" t="e">
            <v>#DIV/0!</v>
          </cell>
        </row>
        <row r="77">
          <cell r="B77">
            <v>23</v>
          </cell>
          <cell r="C77">
            <v>3476</v>
          </cell>
          <cell r="D77" t="str">
            <v>Naten Dimas AS</v>
          </cell>
          <cell r="E77" t="str">
            <v>3476A</v>
          </cell>
          <cell r="F77" t="str">
            <v>Peng.</v>
          </cell>
          <cell r="G77">
            <v>85</v>
          </cell>
          <cell r="H77">
            <v>83</v>
          </cell>
          <cell r="I77">
            <v>83</v>
          </cell>
          <cell r="J77">
            <v>74</v>
          </cell>
          <cell r="K77">
            <v>63</v>
          </cell>
          <cell r="L77">
            <v>65</v>
          </cell>
          <cell r="M77">
            <v>60</v>
          </cell>
          <cell r="N77">
            <v>57</v>
          </cell>
          <cell r="O77">
            <v>77</v>
          </cell>
          <cell r="P77">
            <v>77</v>
          </cell>
          <cell r="Q77">
            <v>77</v>
          </cell>
          <cell r="R77">
            <v>77</v>
          </cell>
          <cell r="S77">
            <v>77</v>
          </cell>
          <cell r="T77">
            <v>77</v>
          </cell>
          <cell r="U77">
            <v>77</v>
          </cell>
          <cell r="Z77" t="str">
            <v>PMR</v>
          </cell>
          <cell r="AA77" t="str">
            <v>Amat Baik</v>
          </cell>
          <cell r="AB77" t="str">
            <v>Menguasai P3K</v>
          </cell>
          <cell r="AF77">
            <v>73.933333333333337</v>
          </cell>
        </row>
        <row r="78">
          <cell r="E78" t="str">
            <v>3476B</v>
          </cell>
          <cell r="F78" t="str">
            <v>Prak.</v>
          </cell>
          <cell r="G78">
            <v>85</v>
          </cell>
          <cell r="H78">
            <v>83</v>
          </cell>
          <cell r="I78">
            <v>83</v>
          </cell>
          <cell r="J78">
            <v>74</v>
          </cell>
          <cell r="K78">
            <v>63</v>
          </cell>
          <cell r="L78">
            <v>65</v>
          </cell>
          <cell r="M78">
            <v>60</v>
          </cell>
          <cell r="N78">
            <v>57</v>
          </cell>
          <cell r="O78">
            <v>77</v>
          </cell>
          <cell r="P78">
            <v>77</v>
          </cell>
          <cell r="Q78">
            <v>77</v>
          </cell>
          <cell r="R78">
            <v>77</v>
          </cell>
          <cell r="S78">
            <v>77</v>
          </cell>
          <cell r="T78">
            <v>77</v>
          </cell>
          <cell r="U78">
            <v>77</v>
          </cell>
          <cell r="AF78">
            <v>73.933333333333337</v>
          </cell>
        </row>
        <row r="79">
          <cell r="E79" t="str">
            <v>3476C</v>
          </cell>
          <cell r="F79" t="str">
            <v>Sikap</v>
          </cell>
          <cell r="G79" t="str">
            <v>SB</v>
          </cell>
          <cell r="H79" t="str">
            <v>SB</v>
          </cell>
          <cell r="I79" t="str">
            <v>B</v>
          </cell>
          <cell r="J79" t="str">
            <v>B</v>
          </cell>
          <cell r="K79" t="str">
            <v>B</v>
          </cell>
          <cell r="L79" t="str">
            <v>C</v>
          </cell>
          <cell r="M79" t="str">
            <v>SB</v>
          </cell>
          <cell r="N79" t="str">
            <v>B</v>
          </cell>
          <cell r="O79" t="str">
            <v>C</v>
          </cell>
          <cell r="P79" t="str">
            <v>C</v>
          </cell>
          <cell r="Q79" t="str">
            <v>C</v>
          </cell>
          <cell r="R79" t="str">
            <v>C</v>
          </cell>
          <cell r="S79" t="str">
            <v>C</v>
          </cell>
          <cell r="T79" t="str">
            <v>C</v>
          </cell>
          <cell r="U79" t="str">
            <v>C</v>
          </cell>
          <cell r="AF79" t="e">
            <v>#DIV/0!</v>
          </cell>
        </row>
        <row r="80">
          <cell r="B80">
            <v>24</v>
          </cell>
          <cell r="C80">
            <v>3523</v>
          </cell>
          <cell r="D80" t="str">
            <v>Nur Fitria</v>
          </cell>
          <cell r="E80" t="str">
            <v>3523A</v>
          </cell>
          <cell r="F80" t="str">
            <v>Peng.</v>
          </cell>
          <cell r="G80">
            <v>85</v>
          </cell>
          <cell r="H80">
            <v>83</v>
          </cell>
          <cell r="I80">
            <v>83</v>
          </cell>
          <cell r="J80">
            <v>74</v>
          </cell>
          <cell r="K80">
            <v>63</v>
          </cell>
          <cell r="L80">
            <v>65</v>
          </cell>
          <cell r="M80">
            <v>60</v>
          </cell>
          <cell r="N80">
            <v>57</v>
          </cell>
          <cell r="O80">
            <v>77</v>
          </cell>
          <cell r="P80">
            <v>77</v>
          </cell>
          <cell r="Q80">
            <v>77</v>
          </cell>
          <cell r="R80">
            <v>77</v>
          </cell>
          <cell r="S80">
            <v>77</v>
          </cell>
          <cell r="T80">
            <v>77</v>
          </cell>
          <cell r="U80">
            <v>77</v>
          </cell>
          <cell r="AF80">
            <v>73.933333333333337</v>
          </cell>
        </row>
        <row r="81">
          <cell r="E81" t="str">
            <v>3523B</v>
          </cell>
          <cell r="F81" t="str">
            <v>Prak.</v>
          </cell>
          <cell r="G81">
            <v>85</v>
          </cell>
          <cell r="H81">
            <v>83</v>
          </cell>
          <cell r="I81">
            <v>83</v>
          </cell>
          <cell r="J81">
            <v>74</v>
          </cell>
          <cell r="K81">
            <v>63</v>
          </cell>
          <cell r="L81">
            <v>65</v>
          </cell>
          <cell r="M81">
            <v>60</v>
          </cell>
          <cell r="N81">
            <v>57</v>
          </cell>
          <cell r="O81">
            <v>77</v>
          </cell>
          <cell r="P81">
            <v>77</v>
          </cell>
          <cell r="Q81">
            <v>77</v>
          </cell>
          <cell r="R81">
            <v>77</v>
          </cell>
          <cell r="S81">
            <v>77</v>
          </cell>
          <cell r="T81">
            <v>77</v>
          </cell>
          <cell r="U81">
            <v>77</v>
          </cell>
          <cell r="AF81">
            <v>73.933333333333337</v>
          </cell>
        </row>
        <row r="82">
          <cell r="E82" t="str">
            <v>3523C</v>
          </cell>
          <cell r="F82" t="str">
            <v>Sikap</v>
          </cell>
          <cell r="G82" t="str">
            <v>SB</v>
          </cell>
          <cell r="H82" t="str">
            <v>SB</v>
          </cell>
          <cell r="I82" t="str">
            <v>B</v>
          </cell>
          <cell r="J82" t="str">
            <v>B</v>
          </cell>
          <cell r="K82" t="str">
            <v>B</v>
          </cell>
          <cell r="L82" t="str">
            <v>C</v>
          </cell>
          <cell r="M82" t="str">
            <v>SB</v>
          </cell>
          <cell r="N82" t="str">
            <v>B</v>
          </cell>
          <cell r="O82" t="str">
            <v>C</v>
          </cell>
          <cell r="P82" t="str">
            <v>C</v>
          </cell>
          <cell r="Q82" t="str">
            <v>C</v>
          </cell>
          <cell r="R82" t="str">
            <v>C</v>
          </cell>
          <cell r="S82" t="str">
            <v>C</v>
          </cell>
          <cell r="T82" t="str">
            <v>C</v>
          </cell>
          <cell r="U82" t="str">
            <v>C</v>
          </cell>
          <cell r="AF82" t="e">
            <v>#DIV/0!</v>
          </cell>
        </row>
        <row r="83">
          <cell r="B83">
            <v>25</v>
          </cell>
          <cell r="C83">
            <v>3634</v>
          </cell>
          <cell r="D83" t="str">
            <v>Nova Rosida</v>
          </cell>
          <cell r="E83" t="str">
            <v>3634A</v>
          </cell>
          <cell r="F83" t="str">
            <v>Peng.</v>
          </cell>
          <cell r="G83">
            <v>85</v>
          </cell>
          <cell r="H83">
            <v>83</v>
          </cell>
          <cell r="I83">
            <v>83</v>
          </cell>
          <cell r="J83">
            <v>74</v>
          </cell>
          <cell r="K83">
            <v>63</v>
          </cell>
          <cell r="L83">
            <v>65</v>
          </cell>
          <cell r="M83">
            <v>60</v>
          </cell>
          <cell r="N83">
            <v>57</v>
          </cell>
          <cell r="O83">
            <v>77</v>
          </cell>
          <cell r="P83">
            <v>77</v>
          </cell>
          <cell r="Q83">
            <v>77</v>
          </cell>
          <cell r="R83">
            <v>77</v>
          </cell>
          <cell r="S83">
            <v>77</v>
          </cell>
          <cell r="T83">
            <v>77</v>
          </cell>
          <cell r="U83">
            <v>77</v>
          </cell>
          <cell r="AF83">
            <v>73.933333333333337</v>
          </cell>
        </row>
        <row r="84">
          <cell r="E84" t="str">
            <v>3634B</v>
          </cell>
          <cell r="F84" t="str">
            <v>Prak.</v>
          </cell>
          <cell r="G84">
            <v>85</v>
          </cell>
          <cell r="H84">
            <v>83</v>
          </cell>
          <cell r="I84">
            <v>83</v>
          </cell>
          <cell r="J84">
            <v>74</v>
          </cell>
          <cell r="K84">
            <v>63</v>
          </cell>
          <cell r="L84">
            <v>65</v>
          </cell>
          <cell r="M84">
            <v>60</v>
          </cell>
          <cell r="N84">
            <v>57</v>
          </cell>
          <cell r="O84">
            <v>77</v>
          </cell>
          <cell r="P84">
            <v>77</v>
          </cell>
          <cell r="Q84">
            <v>77</v>
          </cell>
          <cell r="R84">
            <v>77</v>
          </cell>
          <cell r="S84">
            <v>77</v>
          </cell>
          <cell r="T84">
            <v>77</v>
          </cell>
          <cell r="U84">
            <v>77</v>
          </cell>
          <cell r="AF84">
            <v>73.933333333333337</v>
          </cell>
        </row>
        <row r="85">
          <cell r="E85" t="str">
            <v>3634C</v>
          </cell>
          <cell r="F85" t="str">
            <v>Sikap</v>
          </cell>
          <cell r="G85" t="str">
            <v>SB</v>
          </cell>
          <cell r="H85" t="str">
            <v>SB</v>
          </cell>
          <cell r="I85" t="str">
            <v>B</v>
          </cell>
          <cell r="J85" t="str">
            <v>B</v>
          </cell>
          <cell r="K85" t="str">
            <v>B</v>
          </cell>
          <cell r="L85" t="str">
            <v>C</v>
          </cell>
          <cell r="M85" t="str">
            <v>SB</v>
          </cell>
          <cell r="N85" t="str">
            <v>B</v>
          </cell>
          <cell r="O85" t="str">
            <v>C</v>
          </cell>
          <cell r="P85" t="str">
            <v>C</v>
          </cell>
          <cell r="Q85" t="str">
            <v>C</v>
          </cell>
          <cell r="R85" t="str">
            <v>C</v>
          </cell>
          <cell r="S85" t="str">
            <v>C</v>
          </cell>
          <cell r="T85" t="str">
            <v>C</v>
          </cell>
          <cell r="U85" t="str">
            <v>C</v>
          </cell>
          <cell r="AF85" t="e">
            <v>#DIV/0!</v>
          </cell>
        </row>
        <row r="86">
          <cell r="B86">
            <v>26</v>
          </cell>
          <cell r="C86">
            <v>3441</v>
          </cell>
          <cell r="D86" t="str">
            <v>Novialesty Muslimah</v>
          </cell>
          <cell r="E86" t="str">
            <v>3441A</v>
          </cell>
          <cell r="F86" t="str">
            <v>Peng.</v>
          </cell>
          <cell r="G86">
            <v>85</v>
          </cell>
          <cell r="H86">
            <v>83</v>
          </cell>
          <cell r="I86">
            <v>83</v>
          </cell>
          <cell r="J86">
            <v>74</v>
          </cell>
          <cell r="K86">
            <v>63</v>
          </cell>
          <cell r="L86">
            <v>65</v>
          </cell>
          <cell r="M86">
            <v>60</v>
          </cell>
          <cell r="N86">
            <v>57</v>
          </cell>
          <cell r="O86">
            <v>77</v>
          </cell>
          <cell r="P86">
            <v>77</v>
          </cell>
          <cell r="Q86">
            <v>77</v>
          </cell>
          <cell r="R86">
            <v>77</v>
          </cell>
          <cell r="S86">
            <v>77</v>
          </cell>
          <cell r="T86">
            <v>77</v>
          </cell>
          <cell r="U86">
            <v>77</v>
          </cell>
          <cell r="AF86">
            <v>73.933333333333337</v>
          </cell>
        </row>
        <row r="87">
          <cell r="E87" t="str">
            <v>3441B</v>
          </cell>
          <cell r="F87" t="str">
            <v>Prak.</v>
          </cell>
          <cell r="G87">
            <v>85</v>
          </cell>
          <cell r="H87">
            <v>83</v>
          </cell>
          <cell r="I87">
            <v>83</v>
          </cell>
          <cell r="J87">
            <v>74</v>
          </cell>
          <cell r="K87">
            <v>63</v>
          </cell>
          <cell r="L87">
            <v>65</v>
          </cell>
          <cell r="M87">
            <v>60</v>
          </cell>
          <cell r="N87">
            <v>57</v>
          </cell>
          <cell r="O87">
            <v>77</v>
          </cell>
          <cell r="P87">
            <v>77</v>
          </cell>
          <cell r="Q87">
            <v>77</v>
          </cell>
          <cell r="R87">
            <v>77</v>
          </cell>
          <cell r="S87">
            <v>77</v>
          </cell>
          <cell r="T87">
            <v>77</v>
          </cell>
          <cell r="U87">
            <v>77</v>
          </cell>
          <cell r="AF87">
            <v>73.933333333333337</v>
          </cell>
        </row>
        <row r="88">
          <cell r="E88" t="str">
            <v>3441C</v>
          </cell>
          <cell r="F88" t="str">
            <v>Sikap</v>
          </cell>
          <cell r="G88" t="str">
            <v>SB</v>
          </cell>
          <cell r="H88" t="str">
            <v>SB</v>
          </cell>
          <cell r="I88" t="str">
            <v>B</v>
          </cell>
          <cell r="J88" t="str">
            <v>B</v>
          </cell>
          <cell r="K88" t="str">
            <v>B</v>
          </cell>
          <cell r="L88" t="str">
            <v>C</v>
          </cell>
          <cell r="M88" t="str">
            <v>SB</v>
          </cell>
          <cell r="N88" t="str">
            <v>B</v>
          </cell>
          <cell r="O88" t="str">
            <v>C</v>
          </cell>
          <cell r="P88" t="str">
            <v>C</v>
          </cell>
          <cell r="Q88" t="str">
            <v>C</v>
          </cell>
          <cell r="R88" t="str">
            <v>C</v>
          </cell>
          <cell r="S88" t="str">
            <v>C</v>
          </cell>
          <cell r="T88" t="str">
            <v>C</v>
          </cell>
          <cell r="U88" t="str">
            <v>C</v>
          </cell>
          <cell r="AF88" t="e">
            <v>#DIV/0!</v>
          </cell>
        </row>
        <row r="89">
          <cell r="B89">
            <v>27</v>
          </cell>
          <cell r="C89">
            <v>3601</v>
          </cell>
          <cell r="D89" t="str">
            <v>Pahrur Rozi</v>
          </cell>
          <cell r="E89" t="str">
            <v>3601A</v>
          </cell>
          <cell r="F89" t="str">
            <v>Peng.</v>
          </cell>
          <cell r="G89">
            <v>85</v>
          </cell>
          <cell r="H89">
            <v>83</v>
          </cell>
          <cell r="I89">
            <v>83</v>
          </cell>
          <cell r="J89">
            <v>74</v>
          </cell>
          <cell r="K89">
            <v>63</v>
          </cell>
          <cell r="L89">
            <v>65</v>
          </cell>
          <cell r="M89">
            <v>60</v>
          </cell>
          <cell r="N89">
            <v>57</v>
          </cell>
          <cell r="O89">
            <v>77</v>
          </cell>
          <cell r="P89">
            <v>77</v>
          </cell>
          <cell r="Q89">
            <v>77</v>
          </cell>
          <cell r="R89">
            <v>77</v>
          </cell>
          <cell r="S89">
            <v>77</v>
          </cell>
          <cell r="T89">
            <v>77</v>
          </cell>
          <cell r="U89">
            <v>77</v>
          </cell>
          <cell r="AF89">
            <v>73.933333333333337</v>
          </cell>
        </row>
        <row r="90">
          <cell r="E90" t="str">
            <v>3601B</v>
          </cell>
          <cell r="F90" t="str">
            <v>Prak.</v>
          </cell>
          <cell r="G90">
            <v>85</v>
          </cell>
          <cell r="H90">
            <v>83</v>
          </cell>
          <cell r="I90">
            <v>83</v>
          </cell>
          <cell r="J90">
            <v>74</v>
          </cell>
          <cell r="K90">
            <v>63</v>
          </cell>
          <cell r="L90">
            <v>65</v>
          </cell>
          <cell r="M90">
            <v>60</v>
          </cell>
          <cell r="N90">
            <v>57</v>
          </cell>
          <cell r="O90">
            <v>77</v>
          </cell>
          <cell r="P90">
            <v>77</v>
          </cell>
          <cell r="Q90">
            <v>77</v>
          </cell>
          <cell r="R90">
            <v>77</v>
          </cell>
          <cell r="S90">
            <v>77</v>
          </cell>
          <cell r="T90">
            <v>77</v>
          </cell>
          <cell r="U90">
            <v>77</v>
          </cell>
          <cell r="AF90">
            <v>73.933333333333337</v>
          </cell>
        </row>
        <row r="91">
          <cell r="E91" t="str">
            <v>3601C</v>
          </cell>
          <cell r="F91" t="str">
            <v>Sikap</v>
          </cell>
          <cell r="G91" t="str">
            <v>SB</v>
          </cell>
          <cell r="H91" t="str">
            <v>SB</v>
          </cell>
          <cell r="I91" t="str">
            <v>B</v>
          </cell>
          <cell r="J91" t="str">
            <v>B</v>
          </cell>
          <cell r="K91" t="str">
            <v>B</v>
          </cell>
          <cell r="L91" t="str">
            <v>C</v>
          </cell>
          <cell r="M91" t="str">
            <v>SB</v>
          </cell>
          <cell r="N91" t="str">
            <v>B</v>
          </cell>
          <cell r="O91" t="str">
            <v>C</v>
          </cell>
          <cell r="P91" t="str">
            <v>C</v>
          </cell>
          <cell r="Q91" t="str">
            <v>C</v>
          </cell>
          <cell r="R91" t="str">
            <v>C</v>
          </cell>
          <cell r="S91" t="str">
            <v>C</v>
          </cell>
          <cell r="T91" t="str">
            <v>C</v>
          </cell>
          <cell r="U91" t="str">
            <v>C</v>
          </cell>
          <cell r="AF91" t="e">
            <v>#DIV/0!</v>
          </cell>
        </row>
        <row r="92">
          <cell r="B92">
            <v>28</v>
          </cell>
          <cell r="C92">
            <v>3559</v>
          </cell>
          <cell r="D92" t="str">
            <v>Putri Andriani</v>
          </cell>
          <cell r="E92" t="str">
            <v>3559A</v>
          </cell>
          <cell r="F92" t="str">
            <v>Peng.</v>
          </cell>
          <cell r="G92">
            <v>85</v>
          </cell>
          <cell r="H92">
            <v>83</v>
          </cell>
          <cell r="I92">
            <v>83</v>
          </cell>
          <cell r="J92">
            <v>74</v>
          </cell>
          <cell r="K92">
            <v>63</v>
          </cell>
          <cell r="L92">
            <v>65</v>
          </cell>
          <cell r="M92">
            <v>60</v>
          </cell>
          <cell r="N92">
            <v>57</v>
          </cell>
          <cell r="O92">
            <v>77</v>
          </cell>
          <cell r="P92">
            <v>77</v>
          </cell>
          <cell r="Q92">
            <v>77</v>
          </cell>
          <cell r="R92">
            <v>77</v>
          </cell>
          <cell r="S92">
            <v>77</v>
          </cell>
          <cell r="T92">
            <v>77</v>
          </cell>
          <cell r="U92">
            <v>77</v>
          </cell>
          <cell r="AF92">
            <v>73.933333333333337</v>
          </cell>
        </row>
        <row r="93">
          <cell r="E93" t="str">
            <v>3559B</v>
          </cell>
          <cell r="F93" t="str">
            <v>Prak.</v>
          </cell>
          <cell r="G93">
            <v>85</v>
          </cell>
          <cell r="H93">
            <v>83</v>
          </cell>
          <cell r="I93">
            <v>83</v>
          </cell>
          <cell r="J93">
            <v>74</v>
          </cell>
          <cell r="K93">
            <v>63</v>
          </cell>
          <cell r="L93">
            <v>65</v>
          </cell>
          <cell r="M93">
            <v>60</v>
          </cell>
          <cell r="N93">
            <v>57</v>
          </cell>
          <cell r="O93">
            <v>77</v>
          </cell>
          <cell r="P93">
            <v>77</v>
          </cell>
          <cell r="Q93">
            <v>77</v>
          </cell>
          <cell r="R93">
            <v>77</v>
          </cell>
          <cell r="S93">
            <v>77</v>
          </cell>
          <cell r="T93">
            <v>77</v>
          </cell>
          <cell r="U93">
            <v>77</v>
          </cell>
          <cell r="AF93">
            <v>73.933333333333337</v>
          </cell>
        </row>
        <row r="94">
          <cell r="E94" t="str">
            <v>3559C</v>
          </cell>
          <cell r="F94" t="str">
            <v>Sikap</v>
          </cell>
          <cell r="G94" t="str">
            <v>SB</v>
          </cell>
          <cell r="H94" t="str">
            <v>SB</v>
          </cell>
          <cell r="I94" t="str">
            <v>B</v>
          </cell>
          <cell r="J94" t="str">
            <v>B</v>
          </cell>
          <cell r="K94" t="str">
            <v>B</v>
          </cell>
          <cell r="L94" t="str">
            <v>C</v>
          </cell>
          <cell r="M94" t="str">
            <v>SB</v>
          </cell>
          <cell r="N94" t="str">
            <v>B</v>
          </cell>
          <cell r="O94" t="str">
            <v>C</v>
          </cell>
          <cell r="P94" t="str">
            <v>C</v>
          </cell>
          <cell r="Q94" t="str">
            <v>C</v>
          </cell>
          <cell r="R94" t="str">
            <v>C</v>
          </cell>
          <cell r="S94" t="str">
            <v>C</v>
          </cell>
          <cell r="T94" t="str">
            <v>C</v>
          </cell>
          <cell r="U94" t="str">
            <v>C</v>
          </cell>
          <cell r="AF94" t="e">
            <v>#DIV/0!</v>
          </cell>
        </row>
        <row r="95">
          <cell r="B95">
            <v>29</v>
          </cell>
          <cell r="C95">
            <v>3446</v>
          </cell>
          <cell r="D95" t="str">
            <v>Riki Andriawan</v>
          </cell>
          <cell r="E95" t="str">
            <v>3446A</v>
          </cell>
          <cell r="F95" t="str">
            <v>Peng.</v>
          </cell>
          <cell r="G95">
            <v>85</v>
          </cell>
          <cell r="H95">
            <v>83</v>
          </cell>
          <cell r="I95">
            <v>83</v>
          </cell>
          <cell r="J95">
            <v>74</v>
          </cell>
          <cell r="K95">
            <v>63</v>
          </cell>
          <cell r="L95">
            <v>65</v>
          </cell>
          <cell r="M95">
            <v>60</v>
          </cell>
          <cell r="N95">
            <v>57</v>
          </cell>
          <cell r="O95">
            <v>77</v>
          </cell>
          <cell r="P95">
            <v>77</v>
          </cell>
          <cell r="Q95">
            <v>77</v>
          </cell>
          <cell r="R95">
            <v>77</v>
          </cell>
          <cell r="S95">
            <v>77</v>
          </cell>
          <cell r="T95">
            <v>77</v>
          </cell>
          <cell r="U95">
            <v>77</v>
          </cell>
          <cell r="AF95">
            <v>73.933333333333337</v>
          </cell>
        </row>
        <row r="96">
          <cell r="E96" t="str">
            <v>3446B</v>
          </cell>
          <cell r="F96" t="str">
            <v>Prak.</v>
          </cell>
          <cell r="G96">
            <v>85</v>
          </cell>
          <cell r="H96">
            <v>83</v>
          </cell>
          <cell r="I96">
            <v>83</v>
          </cell>
          <cell r="J96">
            <v>74</v>
          </cell>
          <cell r="K96">
            <v>63</v>
          </cell>
          <cell r="L96">
            <v>65</v>
          </cell>
          <cell r="M96">
            <v>60</v>
          </cell>
          <cell r="N96">
            <v>57</v>
          </cell>
          <cell r="O96">
            <v>77</v>
          </cell>
          <cell r="P96">
            <v>77</v>
          </cell>
          <cell r="Q96">
            <v>77</v>
          </cell>
          <cell r="R96">
            <v>77</v>
          </cell>
          <cell r="S96">
            <v>77</v>
          </cell>
          <cell r="T96">
            <v>77</v>
          </cell>
          <cell r="U96">
            <v>77</v>
          </cell>
          <cell r="AF96">
            <v>73.933333333333337</v>
          </cell>
        </row>
        <row r="97">
          <cell r="E97" t="str">
            <v>3446C</v>
          </cell>
          <cell r="F97" t="str">
            <v>Sikap</v>
          </cell>
          <cell r="G97" t="str">
            <v>SB</v>
          </cell>
          <cell r="H97" t="str">
            <v>SB</v>
          </cell>
          <cell r="I97" t="str">
            <v>B</v>
          </cell>
          <cell r="J97" t="str">
            <v>B</v>
          </cell>
          <cell r="K97" t="str">
            <v>B</v>
          </cell>
          <cell r="L97" t="str">
            <v>C</v>
          </cell>
          <cell r="M97" t="str">
            <v>SB</v>
          </cell>
          <cell r="N97" t="str">
            <v>B</v>
          </cell>
          <cell r="O97" t="str">
            <v>C</v>
          </cell>
          <cell r="P97" t="str">
            <v>C</v>
          </cell>
          <cell r="Q97" t="str">
            <v>C</v>
          </cell>
          <cell r="R97" t="str">
            <v>C</v>
          </cell>
          <cell r="S97" t="str">
            <v>C</v>
          </cell>
          <cell r="T97" t="str">
            <v>C</v>
          </cell>
          <cell r="U97" t="str">
            <v>C</v>
          </cell>
          <cell r="AF97" t="e">
            <v>#DIV/0!</v>
          </cell>
        </row>
        <row r="98">
          <cell r="B98">
            <v>30</v>
          </cell>
          <cell r="C98">
            <v>3530</v>
          </cell>
          <cell r="D98" t="str">
            <v>Sabila Devi Putra Utama</v>
          </cell>
          <cell r="E98" t="str">
            <v>3530A</v>
          </cell>
          <cell r="F98" t="str">
            <v>Peng.</v>
          </cell>
          <cell r="G98">
            <v>85</v>
          </cell>
          <cell r="H98">
            <v>83</v>
          </cell>
          <cell r="I98">
            <v>83</v>
          </cell>
          <cell r="J98">
            <v>74</v>
          </cell>
          <cell r="K98">
            <v>63</v>
          </cell>
          <cell r="L98">
            <v>65</v>
          </cell>
          <cell r="M98">
            <v>60</v>
          </cell>
          <cell r="N98">
            <v>57</v>
          </cell>
          <cell r="O98">
            <v>77</v>
          </cell>
          <cell r="P98">
            <v>77</v>
          </cell>
          <cell r="Q98">
            <v>77</v>
          </cell>
          <cell r="R98">
            <v>77</v>
          </cell>
          <cell r="S98">
            <v>77</v>
          </cell>
          <cell r="T98">
            <v>77</v>
          </cell>
          <cell r="U98">
            <v>77</v>
          </cell>
          <cell r="AF98">
            <v>73.933333333333337</v>
          </cell>
        </row>
        <row r="99">
          <cell r="E99" t="str">
            <v>3530B</v>
          </cell>
          <cell r="F99" t="str">
            <v>Prak.</v>
          </cell>
          <cell r="G99">
            <v>85</v>
          </cell>
          <cell r="H99">
            <v>83</v>
          </cell>
          <cell r="I99">
            <v>83</v>
          </cell>
          <cell r="J99">
            <v>74</v>
          </cell>
          <cell r="K99">
            <v>63</v>
          </cell>
          <cell r="L99">
            <v>65</v>
          </cell>
          <cell r="M99">
            <v>60</v>
          </cell>
          <cell r="N99">
            <v>57</v>
          </cell>
          <cell r="O99">
            <v>77</v>
          </cell>
          <cell r="P99">
            <v>77</v>
          </cell>
          <cell r="Q99">
            <v>77</v>
          </cell>
          <cell r="R99">
            <v>77</v>
          </cell>
          <cell r="S99">
            <v>77</v>
          </cell>
          <cell r="T99">
            <v>77</v>
          </cell>
          <cell r="U99">
            <v>77</v>
          </cell>
          <cell r="AF99">
            <v>73.933333333333337</v>
          </cell>
        </row>
        <row r="100">
          <cell r="E100" t="str">
            <v>3530C</v>
          </cell>
          <cell r="F100" t="str">
            <v>Sikap</v>
          </cell>
          <cell r="G100" t="str">
            <v>SB</v>
          </cell>
          <cell r="H100" t="str">
            <v>SB</v>
          </cell>
          <cell r="I100" t="str">
            <v>B</v>
          </cell>
          <cell r="J100" t="str">
            <v>B</v>
          </cell>
          <cell r="K100" t="str">
            <v>B</v>
          </cell>
          <cell r="L100" t="str">
            <v>C</v>
          </cell>
          <cell r="M100" t="str">
            <v>SB</v>
          </cell>
          <cell r="N100" t="str">
            <v>B</v>
          </cell>
          <cell r="O100" t="str">
            <v>C</v>
          </cell>
          <cell r="P100" t="str">
            <v>C</v>
          </cell>
          <cell r="Q100" t="str">
            <v>C</v>
          </cell>
          <cell r="R100" t="str">
            <v>C</v>
          </cell>
          <cell r="S100" t="str">
            <v>C</v>
          </cell>
          <cell r="T100" t="str">
            <v>C</v>
          </cell>
          <cell r="U100" t="str">
            <v>C</v>
          </cell>
          <cell r="AF100" t="e">
            <v>#DIV/0!</v>
          </cell>
        </row>
        <row r="101">
          <cell r="B101">
            <v>31</v>
          </cell>
          <cell r="C101">
            <v>3307</v>
          </cell>
          <cell r="D101" t="str">
            <v>Sari Yusira</v>
          </cell>
          <cell r="E101" t="str">
            <v>3307A</v>
          </cell>
          <cell r="F101" t="str">
            <v>Peng.</v>
          </cell>
          <cell r="G101">
            <v>85</v>
          </cell>
          <cell r="H101">
            <v>83</v>
          </cell>
          <cell r="I101">
            <v>83</v>
          </cell>
          <cell r="J101">
            <v>74</v>
          </cell>
          <cell r="K101">
            <v>63</v>
          </cell>
          <cell r="L101">
            <v>65</v>
          </cell>
          <cell r="M101">
            <v>60</v>
          </cell>
          <cell r="N101">
            <v>57</v>
          </cell>
          <cell r="O101">
            <v>77</v>
          </cell>
          <cell r="P101">
            <v>77</v>
          </cell>
          <cell r="Q101">
            <v>77</v>
          </cell>
          <cell r="R101">
            <v>77</v>
          </cell>
          <cell r="S101">
            <v>77</v>
          </cell>
          <cell r="T101">
            <v>77</v>
          </cell>
          <cell r="U101">
            <v>77</v>
          </cell>
          <cell r="Z101" t="str">
            <v>Teater</v>
          </cell>
          <cell r="AA101" t="str">
            <v>Amat Baik</v>
          </cell>
          <cell r="AB101" t="str">
            <v>Menguasai artikulasi, olah rasa, gerak ,penghayatan dan pembuatan naskah dengan baik</v>
          </cell>
          <cell r="AF101">
            <v>73.933333333333337</v>
          </cell>
        </row>
        <row r="102">
          <cell r="E102" t="str">
            <v>3307B</v>
          </cell>
          <cell r="F102" t="str">
            <v>Prak.</v>
          </cell>
          <cell r="G102">
            <v>85</v>
          </cell>
          <cell r="H102">
            <v>83</v>
          </cell>
          <cell r="I102">
            <v>83</v>
          </cell>
          <cell r="J102">
            <v>74</v>
          </cell>
          <cell r="K102">
            <v>63</v>
          </cell>
          <cell r="L102">
            <v>65</v>
          </cell>
          <cell r="M102">
            <v>60</v>
          </cell>
          <cell r="N102">
            <v>57</v>
          </cell>
          <cell r="O102">
            <v>77</v>
          </cell>
          <cell r="P102">
            <v>77</v>
          </cell>
          <cell r="Q102">
            <v>77</v>
          </cell>
          <cell r="R102">
            <v>77</v>
          </cell>
          <cell r="S102">
            <v>77</v>
          </cell>
          <cell r="T102">
            <v>77</v>
          </cell>
          <cell r="U102">
            <v>77</v>
          </cell>
          <cell r="AF102">
            <v>73.933333333333337</v>
          </cell>
        </row>
        <row r="103">
          <cell r="E103" t="str">
            <v>3307C</v>
          </cell>
          <cell r="F103" t="str">
            <v>Sikap</v>
          </cell>
          <cell r="G103" t="str">
            <v>SB</v>
          </cell>
          <cell r="H103" t="str">
            <v>SB</v>
          </cell>
          <cell r="I103" t="str">
            <v>B</v>
          </cell>
          <cell r="J103" t="str">
            <v>B</v>
          </cell>
          <cell r="K103" t="str">
            <v>B</v>
          </cell>
          <cell r="L103" t="str">
            <v>C</v>
          </cell>
          <cell r="M103" t="str">
            <v>SB</v>
          </cell>
          <cell r="N103" t="str">
            <v>B</v>
          </cell>
          <cell r="O103" t="str">
            <v>C</v>
          </cell>
          <cell r="P103" t="str">
            <v>C</v>
          </cell>
          <cell r="Q103" t="str">
            <v>C</v>
          </cell>
          <cell r="R103" t="str">
            <v>C</v>
          </cell>
          <cell r="S103" t="str">
            <v>C</v>
          </cell>
          <cell r="T103" t="str">
            <v>C</v>
          </cell>
          <cell r="U103" t="str">
            <v>C</v>
          </cell>
          <cell r="AF103" t="e">
            <v>#DIV/0!</v>
          </cell>
        </row>
        <row r="104">
          <cell r="B104">
            <v>32</v>
          </cell>
          <cell r="C104">
            <v>3447</v>
          </cell>
          <cell r="D104" t="str">
            <v>Sepridawati</v>
          </cell>
          <cell r="E104" t="str">
            <v>3447A</v>
          </cell>
          <cell r="F104" t="str">
            <v>Peng.</v>
          </cell>
          <cell r="G104">
            <v>85</v>
          </cell>
          <cell r="H104">
            <v>83</v>
          </cell>
          <cell r="I104">
            <v>83</v>
          </cell>
          <cell r="J104">
            <v>74</v>
          </cell>
          <cell r="K104">
            <v>63</v>
          </cell>
          <cell r="L104">
            <v>65</v>
          </cell>
          <cell r="M104">
            <v>60</v>
          </cell>
          <cell r="N104">
            <v>57</v>
          </cell>
          <cell r="O104">
            <v>77</v>
          </cell>
          <cell r="P104">
            <v>77</v>
          </cell>
          <cell r="Q104">
            <v>77</v>
          </cell>
          <cell r="R104">
            <v>77</v>
          </cell>
          <cell r="S104">
            <v>77</v>
          </cell>
          <cell r="T104">
            <v>77</v>
          </cell>
          <cell r="U104">
            <v>77</v>
          </cell>
          <cell r="AF104">
            <v>73.933333333333337</v>
          </cell>
        </row>
        <row r="105">
          <cell r="E105" t="str">
            <v>3447B</v>
          </cell>
          <cell r="F105" t="str">
            <v>Prak.</v>
          </cell>
          <cell r="G105">
            <v>85</v>
          </cell>
          <cell r="H105">
            <v>83</v>
          </cell>
          <cell r="I105">
            <v>83</v>
          </cell>
          <cell r="J105">
            <v>74</v>
          </cell>
          <cell r="K105">
            <v>63</v>
          </cell>
          <cell r="L105">
            <v>65</v>
          </cell>
          <cell r="M105">
            <v>60</v>
          </cell>
          <cell r="N105">
            <v>57</v>
          </cell>
          <cell r="O105">
            <v>77</v>
          </cell>
          <cell r="P105">
            <v>77</v>
          </cell>
          <cell r="Q105">
            <v>77</v>
          </cell>
          <cell r="R105">
            <v>77</v>
          </cell>
          <cell r="S105">
            <v>77</v>
          </cell>
          <cell r="T105">
            <v>77</v>
          </cell>
          <cell r="U105">
            <v>77</v>
          </cell>
          <cell r="AF105">
            <v>73.933333333333337</v>
          </cell>
        </row>
        <row r="106">
          <cell r="E106" t="str">
            <v>3447C</v>
          </cell>
          <cell r="F106" t="str">
            <v>Sikap</v>
          </cell>
          <cell r="G106" t="str">
            <v>SB</v>
          </cell>
          <cell r="H106" t="str">
            <v>SB</v>
          </cell>
          <cell r="I106" t="str">
            <v>B</v>
          </cell>
          <cell r="J106" t="str">
            <v>B</v>
          </cell>
          <cell r="K106" t="str">
            <v>B</v>
          </cell>
          <cell r="L106" t="str">
            <v>C</v>
          </cell>
          <cell r="M106" t="str">
            <v>SB</v>
          </cell>
          <cell r="N106" t="str">
            <v>B</v>
          </cell>
          <cell r="O106" t="str">
            <v>C</v>
          </cell>
          <cell r="P106" t="str">
            <v>C</v>
          </cell>
          <cell r="Q106" t="str">
            <v>C</v>
          </cell>
          <cell r="R106" t="str">
            <v>C</v>
          </cell>
          <cell r="S106" t="str">
            <v>C</v>
          </cell>
          <cell r="T106" t="str">
            <v>C</v>
          </cell>
          <cell r="U106" t="str">
            <v>C</v>
          </cell>
          <cell r="AF106" t="e">
            <v>#DIV/0!</v>
          </cell>
        </row>
        <row r="107">
          <cell r="B107">
            <v>33</v>
          </cell>
          <cell r="C107">
            <v>3485</v>
          </cell>
          <cell r="D107" t="str">
            <v>Sirait Maretta Rhadia Puspita</v>
          </cell>
          <cell r="E107" t="str">
            <v>3485A</v>
          </cell>
          <cell r="F107" t="str">
            <v>Peng.</v>
          </cell>
          <cell r="G107">
            <v>85</v>
          </cell>
          <cell r="H107">
            <v>83</v>
          </cell>
          <cell r="I107">
            <v>83</v>
          </cell>
          <cell r="J107">
            <v>74</v>
          </cell>
          <cell r="K107">
            <v>63</v>
          </cell>
          <cell r="L107">
            <v>65</v>
          </cell>
          <cell r="M107">
            <v>60</v>
          </cell>
          <cell r="N107">
            <v>57</v>
          </cell>
          <cell r="O107">
            <v>77</v>
          </cell>
          <cell r="P107">
            <v>77</v>
          </cell>
          <cell r="Q107">
            <v>77</v>
          </cell>
          <cell r="R107">
            <v>77</v>
          </cell>
          <cell r="S107">
            <v>77</v>
          </cell>
          <cell r="T107">
            <v>77</v>
          </cell>
          <cell r="U107">
            <v>77</v>
          </cell>
          <cell r="AF107">
            <v>73.933333333333337</v>
          </cell>
        </row>
        <row r="108">
          <cell r="E108" t="str">
            <v>3485B</v>
          </cell>
          <cell r="F108" t="str">
            <v>Prak.</v>
          </cell>
          <cell r="G108">
            <v>85</v>
          </cell>
          <cell r="H108">
            <v>83</v>
          </cell>
          <cell r="I108">
            <v>83</v>
          </cell>
          <cell r="J108">
            <v>74</v>
          </cell>
          <cell r="K108">
            <v>63</v>
          </cell>
          <cell r="L108">
            <v>65</v>
          </cell>
          <cell r="M108">
            <v>60</v>
          </cell>
          <cell r="N108">
            <v>57</v>
          </cell>
          <cell r="O108">
            <v>77</v>
          </cell>
          <cell r="P108">
            <v>77</v>
          </cell>
          <cell r="Q108">
            <v>77</v>
          </cell>
          <cell r="R108">
            <v>77</v>
          </cell>
          <cell r="S108">
            <v>77</v>
          </cell>
          <cell r="T108">
            <v>77</v>
          </cell>
          <cell r="U108">
            <v>77</v>
          </cell>
          <cell r="AF108">
            <v>73.933333333333337</v>
          </cell>
        </row>
        <row r="109">
          <cell r="E109" t="str">
            <v>3485C</v>
          </cell>
          <cell r="F109" t="str">
            <v>Sikap</v>
          </cell>
          <cell r="G109" t="str">
            <v>SB</v>
          </cell>
          <cell r="H109" t="str">
            <v>SB</v>
          </cell>
          <cell r="I109" t="str">
            <v>B</v>
          </cell>
          <cell r="J109" t="str">
            <v>B</v>
          </cell>
          <cell r="K109" t="str">
            <v>B</v>
          </cell>
          <cell r="L109" t="str">
            <v>C</v>
          </cell>
          <cell r="M109" t="str">
            <v>SB</v>
          </cell>
          <cell r="N109" t="str">
            <v>B</v>
          </cell>
          <cell r="O109" t="str">
            <v>C</v>
          </cell>
          <cell r="P109" t="str">
            <v>C</v>
          </cell>
          <cell r="Q109" t="str">
            <v>C</v>
          </cell>
          <cell r="R109" t="str">
            <v>C</v>
          </cell>
          <cell r="S109" t="str">
            <v>C</v>
          </cell>
          <cell r="T109" t="str">
            <v>C</v>
          </cell>
          <cell r="U109" t="str">
            <v>C</v>
          </cell>
          <cell r="AF109" t="e">
            <v>#DIV/0!</v>
          </cell>
        </row>
        <row r="110">
          <cell r="B110">
            <v>34</v>
          </cell>
          <cell r="C110">
            <v>3631</v>
          </cell>
          <cell r="D110" t="str">
            <v>Sri Rahmadani</v>
          </cell>
          <cell r="E110" t="str">
            <v>3631A</v>
          </cell>
          <cell r="F110" t="str">
            <v>Peng.</v>
          </cell>
          <cell r="G110">
            <v>85</v>
          </cell>
          <cell r="H110">
            <v>83</v>
          </cell>
          <cell r="I110">
            <v>83</v>
          </cell>
          <cell r="J110">
            <v>74</v>
          </cell>
          <cell r="K110">
            <v>63</v>
          </cell>
          <cell r="L110">
            <v>65</v>
          </cell>
          <cell r="M110">
            <v>60</v>
          </cell>
          <cell r="N110">
            <v>57</v>
          </cell>
          <cell r="O110">
            <v>77</v>
          </cell>
          <cell r="P110">
            <v>77</v>
          </cell>
          <cell r="Q110">
            <v>77</v>
          </cell>
          <cell r="R110">
            <v>77</v>
          </cell>
          <cell r="S110">
            <v>77</v>
          </cell>
          <cell r="T110">
            <v>77</v>
          </cell>
          <cell r="U110">
            <v>77</v>
          </cell>
          <cell r="AF110">
            <v>73.933333333333337</v>
          </cell>
        </row>
        <row r="111">
          <cell r="E111" t="str">
            <v>3631B</v>
          </cell>
          <cell r="F111" t="str">
            <v>Prak.</v>
          </cell>
          <cell r="G111">
            <v>85</v>
          </cell>
          <cell r="H111">
            <v>83</v>
          </cell>
          <cell r="I111">
            <v>83</v>
          </cell>
          <cell r="J111">
            <v>74</v>
          </cell>
          <cell r="K111">
            <v>63</v>
          </cell>
          <cell r="L111">
            <v>65</v>
          </cell>
          <cell r="M111">
            <v>60</v>
          </cell>
          <cell r="N111">
            <v>57</v>
          </cell>
          <cell r="O111">
            <v>77</v>
          </cell>
          <cell r="P111">
            <v>77</v>
          </cell>
          <cell r="Q111">
            <v>77</v>
          </cell>
          <cell r="R111">
            <v>77</v>
          </cell>
          <cell r="S111">
            <v>77</v>
          </cell>
          <cell r="T111">
            <v>77</v>
          </cell>
          <cell r="U111">
            <v>77</v>
          </cell>
          <cell r="AF111">
            <v>73.933333333333337</v>
          </cell>
        </row>
        <row r="112">
          <cell r="E112" t="str">
            <v>3631C</v>
          </cell>
          <cell r="F112" t="str">
            <v>Sikap</v>
          </cell>
          <cell r="G112" t="str">
            <v>SB</v>
          </cell>
          <cell r="H112" t="str">
            <v>SB</v>
          </cell>
          <cell r="I112" t="str">
            <v>B</v>
          </cell>
          <cell r="J112" t="str">
            <v>B</v>
          </cell>
          <cell r="K112" t="str">
            <v>B</v>
          </cell>
          <cell r="L112" t="str">
            <v>C</v>
          </cell>
          <cell r="M112" t="str">
            <v>SB</v>
          </cell>
          <cell r="N112" t="str">
            <v>B</v>
          </cell>
          <cell r="O112" t="str">
            <v>C</v>
          </cell>
          <cell r="P112" t="str">
            <v>C</v>
          </cell>
          <cell r="Q112" t="str">
            <v>C</v>
          </cell>
          <cell r="R112" t="str">
            <v>C</v>
          </cell>
          <cell r="S112" t="str">
            <v>C</v>
          </cell>
          <cell r="T112" t="str">
            <v>C</v>
          </cell>
          <cell r="U112" t="str">
            <v>C</v>
          </cell>
          <cell r="AF112" t="e">
            <v>#DIV/0!</v>
          </cell>
        </row>
        <row r="113">
          <cell r="B113">
            <v>35</v>
          </cell>
          <cell r="C113">
            <v>3607</v>
          </cell>
          <cell r="D113" t="str">
            <v>Syahrul Rahmadani</v>
          </cell>
          <cell r="E113" t="str">
            <v>3607A</v>
          </cell>
          <cell r="F113" t="str">
            <v>Peng.</v>
          </cell>
          <cell r="G113">
            <v>85</v>
          </cell>
          <cell r="H113">
            <v>83</v>
          </cell>
          <cell r="I113">
            <v>83</v>
          </cell>
          <cell r="J113">
            <v>74</v>
          </cell>
          <cell r="K113">
            <v>63</v>
          </cell>
          <cell r="L113">
            <v>65</v>
          </cell>
          <cell r="M113">
            <v>60</v>
          </cell>
          <cell r="N113">
            <v>57</v>
          </cell>
          <cell r="O113">
            <v>77</v>
          </cell>
          <cell r="P113">
            <v>77</v>
          </cell>
          <cell r="Q113">
            <v>77</v>
          </cell>
          <cell r="R113">
            <v>77</v>
          </cell>
          <cell r="S113">
            <v>77</v>
          </cell>
          <cell r="T113">
            <v>77</v>
          </cell>
          <cell r="U113">
            <v>77</v>
          </cell>
          <cell r="AF113">
            <v>73.933333333333337</v>
          </cell>
        </row>
        <row r="114">
          <cell r="E114" t="str">
            <v>3607B</v>
          </cell>
          <cell r="F114" t="str">
            <v>Prak.</v>
          </cell>
          <cell r="G114">
            <v>85</v>
          </cell>
          <cell r="H114">
            <v>83</v>
          </cell>
          <cell r="I114">
            <v>83</v>
          </cell>
          <cell r="J114">
            <v>74</v>
          </cell>
          <cell r="K114">
            <v>63</v>
          </cell>
          <cell r="L114">
            <v>65</v>
          </cell>
          <cell r="M114">
            <v>60</v>
          </cell>
          <cell r="N114">
            <v>57</v>
          </cell>
          <cell r="O114">
            <v>77</v>
          </cell>
          <cell r="P114">
            <v>77</v>
          </cell>
          <cell r="Q114">
            <v>77</v>
          </cell>
          <cell r="R114">
            <v>77</v>
          </cell>
          <cell r="S114">
            <v>77</v>
          </cell>
          <cell r="T114">
            <v>77</v>
          </cell>
          <cell r="U114">
            <v>77</v>
          </cell>
          <cell r="AF114">
            <v>73.933333333333337</v>
          </cell>
        </row>
        <row r="115">
          <cell r="E115" t="str">
            <v>3607C</v>
          </cell>
          <cell r="F115" t="str">
            <v>Sikap</v>
          </cell>
          <cell r="G115" t="str">
            <v>SB</v>
          </cell>
          <cell r="H115" t="str">
            <v>SB</v>
          </cell>
          <cell r="I115" t="str">
            <v>B</v>
          </cell>
          <cell r="J115" t="str">
            <v>B</v>
          </cell>
          <cell r="K115" t="str">
            <v>B</v>
          </cell>
          <cell r="L115" t="str">
            <v>C</v>
          </cell>
          <cell r="M115" t="str">
            <v>SB</v>
          </cell>
          <cell r="N115" t="str">
            <v>B</v>
          </cell>
          <cell r="O115" t="str">
            <v>C</v>
          </cell>
          <cell r="P115" t="str">
            <v>C</v>
          </cell>
          <cell r="Q115" t="str">
            <v>C</v>
          </cell>
          <cell r="R115" t="str">
            <v>C</v>
          </cell>
          <cell r="S115" t="str">
            <v>C</v>
          </cell>
          <cell r="T115" t="str">
            <v>C</v>
          </cell>
          <cell r="U115" t="str">
            <v>C</v>
          </cell>
          <cell r="AF115" t="e">
            <v>#DIV/0!</v>
          </cell>
        </row>
        <row r="116">
          <cell r="B116">
            <v>36</v>
          </cell>
          <cell r="C116">
            <v>3451</v>
          </cell>
          <cell r="D116" t="str">
            <v>Widya Astuti</v>
          </cell>
          <cell r="E116" t="str">
            <v>3451A</v>
          </cell>
          <cell r="F116" t="str">
            <v>Peng.</v>
          </cell>
          <cell r="G116">
            <v>85</v>
          </cell>
          <cell r="H116">
            <v>83</v>
          </cell>
          <cell r="I116">
            <v>83</v>
          </cell>
          <cell r="J116">
            <v>74</v>
          </cell>
          <cell r="K116">
            <v>63</v>
          </cell>
          <cell r="L116">
            <v>65</v>
          </cell>
          <cell r="M116">
            <v>60</v>
          </cell>
          <cell r="N116">
            <v>57</v>
          </cell>
          <cell r="O116">
            <v>77</v>
          </cell>
          <cell r="P116">
            <v>77</v>
          </cell>
          <cell r="Q116">
            <v>77</v>
          </cell>
          <cell r="R116">
            <v>77</v>
          </cell>
          <cell r="S116">
            <v>77</v>
          </cell>
          <cell r="T116">
            <v>77</v>
          </cell>
          <cell r="U116">
            <v>77</v>
          </cell>
          <cell r="AF116">
            <v>73.933333333333337</v>
          </cell>
        </row>
        <row r="117">
          <cell r="E117" t="str">
            <v>3451B</v>
          </cell>
          <cell r="F117" t="str">
            <v>Prak.</v>
          </cell>
          <cell r="G117">
            <v>85</v>
          </cell>
          <cell r="H117">
            <v>83</v>
          </cell>
          <cell r="I117">
            <v>83</v>
          </cell>
          <cell r="J117">
            <v>74</v>
          </cell>
          <cell r="K117">
            <v>63</v>
          </cell>
          <cell r="L117">
            <v>65</v>
          </cell>
          <cell r="M117">
            <v>60</v>
          </cell>
          <cell r="N117">
            <v>57</v>
          </cell>
          <cell r="O117">
            <v>77</v>
          </cell>
          <cell r="P117">
            <v>77</v>
          </cell>
          <cell r="Q117">
            <v>77</v>
          </cell>
          <cell r="R117">
            <v>77</v>
          </cell>
          <cell r="S117">
            <v>77</v>
          </cell>
          <cell r="T117">
            <v>77</v>
          </cell>
          <cell r="U117">
            <v>77</v>
          </cell>
          <cell r="AF117">
            <v>73.933333333333337</v>
          </cell>
        </row>
        <row r="118">
          <cell r="E118" t="str">
            <v>3451C</v>
          </cell>
          <cell r="F118" t="str">
            <v>Sikap</v>
          </cell>
          <cell r="G118" t="str">
            <v>SB</v>
          </cell>
          <cell r="H118" t="str">
            <v>SB</v>
          </cell>
          <cell r="I118" t="str">
            <v>B</v>
          </cell>
          <cell r="J118" t="str">
            <v>B</v>
          </cell>
          <cell r="K118" t="str">
            <v>B</v>
          </cell>
          <cell r="L118" t="str">
            <v>C</v>
          </cell>
          <cell r="M118" t="str">
            <v>SB</v>
          </cell>
          <cell r="N118" t="str">
            <v>B</v>
          </cell>
          <cell r="O118" t="str">
            <v>C</v>
          </cell>
          <cell r="P118" t="str">
            <v>C</v>
          </cell>
          <cell r="Q118" t="str">
            <v>C</v>
          </cell>
          <cell r="R118" t="str">
            <v>C</v>
          </cell>
          <cell r="S118" t="str">
            <v>C</v>
          </cell>
          <cell r="T118" t="str">
            <v>C</v>
          </cell>
          <cell r="U118" t="str">
            <v>C</v>
          </cell>
          <cell r="AF118" t="e">
            <v>#DIV/0!</v>
          </cell>
        </row>
        <row r="119">
          <cell r="B119">
            <v>37</v>
          </cell>
          <cell r="C119">
            <v>3569</v>
          </cell>
          <cell r="D119" t="str">
            <v>Utami Dewi Sampurna</v>
          </cell>
          <cell r="E119" t="str">
            <v>3569A</v>
          </cell>
          <cell r="F119" t="str">
            <v>Peng.</v>
          </cell>
          <cell r="G119">
            <v>85</v>
          </cell>
          <cell r="H119">
            <v>83</v>
          </cell>
          <cell r="I119">
            <v>83</v>
          </cell>
          <cell r="J119">
            <v>74</v>
          </cell>
          <cell r="K119">
            <v>63</v>
          </cell>
          <cell r="L119">
            <v>65</v>
          </cell>
          <cell r="M119">
            <v>60</v>
          </cell>
          <cell r="N119">
            <v>57</v>
          </cell>
          <cell r="O119">
            <v>77</v>
          </cell>
          <cell r="P119">
            <v>77</v>
          </cell>
          <cell r="Q119">
            <v>77</v>
          </cell>
          <cell r="R119">
            <v>77</v>
          </cell>
          <cell r="S119">
            <v>77</v>
          </cell>
          <cell r="T119">
            <v>77</v>
          </cell>
          <cell r="U119">
            <v>77</v>
          </cell>
          <cell r="Z119" t="str">
            <v>KOPSIS</v>
          </cell>
          <cell r="AA119" t="str">
            <v>Amat Baik</v>
          </cell>
          <cell r="AB119" t="str">
            <v>Menguasai pembelian, penjualan dan laporan keuangan dengan sangat baik</v>
          </cell>
          <cell r="AF119">
            <v>73.933333333333337</v>
          </cell>
        </row>
        <row r="120">
          <cell r="E120" t="str">
            <v>3569B</v>
          </cell>
          <cell r="F120" t="str">
            <v>Prak.</v>
          </cell>
          <cell r="G120">
            <v>85</v>
          </cell>
          <cell r="H120">
            <v>83</v>
          </cell>
          <cell r="I120">
            <v>83</v>
          </cell>
          <cell r="J120">
            <v>74</v>
          </cell>
          <cell r="K120">
            <v>63</v>
          </cell>
          <cell r="L120">
            <v>65</v>
          </cell>
          <cell r="M120">
            <v>60</v>
          </cell>
          <cell r="N120">
            <v>57</v>
          </cell>
          <cell r="O120">
            <v>77</v>
          </cell>
          <cell r="P120">
            <v>77</v>
          </cell>
          <cell r="Q120">
            <v>77</v>
          </cell>
          <cell r="R120">
            <v>77</v>
          </cell>
          <cell r="S120">
            <v>77</v>
          </cell>
          <cell r="T120">
            <v>77</v>
          </cell>
          <cell r="U120">
            <v>77</v>
          </cell>
          <cell r="AF120">
            <v>73.933333333333337</v>
          </cell>
        </row>
        <row r="121">
          <cell r="E121" t="str">
            <v>3569C</v>
          </cell>
          <cell r="F121" t="str">
            <v>Sikap</v>
          </cell>
          <cell r="G121" t="str">
            <v>SB</v>
          </cell>
          <cell r="H121" t="str">
            <v>SB</v>
          </cell>
          <cell r="I121" t="str">
            <v>B</v>
          </cell>
          <cell r="J121" t="str">
            <v>B</v>
          </cell>
          <cell r="K121" t="str">
            <v>B</v>
          </cell>
          <cell r="L121" t="str">
            <v>C</v>
          </cell>
          <cell r="M121" t="str">
            <v>SB</v>
          </cell>
          <cell r="N121" t="str">
            <v>B</v>
          </cell>
          <cell r="O121" t="str">
            <v>C</v>
          </cell>
          <cell r="P121" t="str">
            <v>C</v>
          </cell>
          <cell r="Q121" t="str">
            <v>C</v>
          </cell>
          <cell r="R121" t="str">
            <v>C</v>
          </cell>
          <cell r="S121" t="str">
            <v>C</v>
          </cell>
          <cell r="T121" t="str">
            <v>C</v>
          </cell>
          <cell r="U121" t="str">
            <v>C</v>
          </cell>
          <cell r="AF121" t="e">
            <v>#DIV/0!</v>
          </cell>
        </row>
        <row r="122">
          <cell r="B122">
            <v>38</v>
          </cell>
          <cell r="C122">
            <v>3572</v>
          </cell>
          <cell r="D122" t="str">
            <v>Yudha Dwi Ananda</v>
          </cell>
          <cell r="E122" t="str">
            <v>3572A</v>
          </cell>
          <cell r="F122" t="str">
            <v>Peng.</v>
          </cell>
          <cell r="G122">
            <v>85</v>
          </cell>
          <cell r="H122">
            <v>83</v>
          </cell>
          <cell r="I122">
            <v>83</v>
          </cell>
          <cell r="J122">
            <v>74</v>
          </cell>
          <cell r="K122">
            <v>63</v>
          </cell>
          <cell r="L122">
            <v>65</v>
          </cell>
          <cell r="M122">
            <v>60</v>
          </cell>
          <cell r="N122">
            <v>57</v>
          </cell>
          <cell r="O122">
            <v>77</v>
          </cell>
          <cell r="P122">
            <v>77</v>
          </cell>
          <cell r="Q122">
            <v>77</v>
          </cell>
          <cell r="R122">
            <v>77</v>
          </cell>
          <cell r="S122">
            <v>77</v>
          </cell>
          <cell r="T122">
            <v>77</v>
          </cell>
          <cell r="U122">
            <v>77</v>
          </cell>
          <cell r="AF122">
            <v>73.933333333333337</v>
          </cell>
        </row>
        <row r="123">
          <cell r="E123" t="str">
            <v>3572B</v>
          </cell>
          <cell r="F123" t="str">
            <v>Prak.</v>
          </cell>
          <cell r="G123">
            <v>85</v>
          </cell>
          <cell r="H123">
            <v>83</v>
          </cell>
          <cell r="I123">
            <v>83</v>
          </cell>
          <cell r="J123">
            <v>74</v>
          </cell>
          <cell r="K123">
            <v>63</v>
          </cell>
          <cell r="L123">
            <v>65</v>
          </cell>
          <cell r="M123">
            <v>60</v>
          </cell>
          <cell r="N123">
            <v>57</v>
          </cell>
          <cell r="O123">
            <v>77</v>
          </cell>
          <cell r="P123">
            <v>77</v>
          </cell>
          <cell r="Q123">
            <v>77</v>
          </cell>
          <cell r="R123">
            <v>77</v>
          </cell>
          <cell r="S123">
            <v>77</v>
          </cell>
          <cell r="T123">
            <v>77</v>
          </cell>
          <cell r="U123">
            <v>77</v>
          </cell>
          <cell r="AF123">
            <v>73.933333333333337</v>
          </cell>
        </row>
        <row r="124">
          <cell r="E124" t="str">
            <v>3572C</v>
          </cell>
          <cell r="F124" t="str">
            <v>Sikap</v>
          </cell>
          <cell r="G124" t="str">
            <v>SB</v>
          </cell>
          <cell r="H124" t="str">
            <v>SB</v>
          </cell>
          <cell r="I124" t="str">
            <v>B</v>
          </cell>
          <cell r="J124" t="str">
            <v>B</v>
          </cell>
          <cell r="K124" t="str">
            <v>B</v>
          </cell>
          <cell r="L124" t="str">
            <v>C</v>
          </cell>
          <cell r="M124" t="str">
            <v>SB</v>
          </cell>
          <cell r="N124" t="str">
            <v>B</v>
          </cell>
          <cell r="O124" t="str">
            <v>C</v>
          </cell>
          <cell r="P124" t="str">
            <v>C</v>
          </cell>
          <cell r="Q124" t="str">
            <v>C</v>
          </cell>
          <cell r="R124" t="str">
            <v>C</v>
          </cell>
          <cell r="S124" t="str">
            <v>C</v>
          </cell>
          <cell r="T124" t="str">
            <v>C</v>
          </cell>
          <cell r="U124" t="str">
            <v>C</v>
          </cell>
          <cell r="AF124" t="e">
            <v>#DIV/0!</v>
          </cell>
        </row>
        <row r="125">
          <cell r="B125">
            <v>39</v>
          </cell>
          <cell r="C125">
            <v>3489</v>
          </cell>
          <cell r="D125" t="str">
            <v>Yunita Widi</v>
          </cell>
          <cell r="E125" t="str">
            <v>3489A</v>
          </cell>
          <cell r="F125" t="str">
            <v>Peng.</v>
          </cell>
          <cell r="G125">
            <v>85</v>
          </cell>
          <cell r="H125">
            <v>83</v>
          </cell>
          <cell r="I125">
            <v>83</v>
          </cell>
          <cell r="J125">
            <v>74</v>
          </cell>
          <cell r="K125">
            <v>63</v>
          </cell>
          <cell r="L125">
            <v>65</v>
          </cell>
          <cell r="M125">
            <v>60</v>
          </cell>
          <cell r="N125">
            <v>57</v>
          </cell>
          <cell r="O125">
            <v>77</v>
          </cell>
          <cell r="P125">
            <v>77</v>
          </cell>
          <cell r="Q125">
            <v>77</v>
          </cell>
          <cell r="R125">
            <v>77</v>
          </cell>
          <cell r="S125">
            <v>77</v>
          </cell>
          <cell r="T125">
            <v>77</v>
          </cell>
          <cell r="U125">
            <v>77</v>
          </cell>
          <cell r="AF125">
            <v>73.933333333333337</v>
          </cell>
        </row>
        <row r="126">
          <cell r="E126" t="str">
            <v>3489B</v>
          </cell>
          <cell r="F126" t="str">
            <v>Prak.</v>
          </cell>
          <cell r="G126">
            <v>85</v>
          </cell>
          <cell r="H126">
            <v>83</v>
          </cell>
          <cell r="I126">
            <v>83</v>
          </cell>
          <cell r="J126">
            <v>74</v>
          </cell>
          <cell r="K126">
            <v>63</v>
          </cell>
          <cell r="L126">
            <v>65</v>
          </cell>
          <cell r="M126">
            <v>60</v>
          </cell>
          <cell r="N126">
            <v>57</v>
          </cell>
          <cell r="O126">
            <v>77</v>
          </cell>
          <cell r="P126">
            <v>77</v>
          </cell>
          <cell r="Q126">
            <v>77</v>
          </cell>
          <cell r="R126">
            <v>77</v>
          </cell>
          <cell r="S126">
            <v>77</v>
          </cell>
          <cell r="T126">
            <v>77</v>
          </cell>
          <cell r="U126">
            <v>77</v>
          </cell>
          <cell r="AF126">
            <v>73.933333333333337</v>
          </cell>
        </row>
        <row r="127">
          <cell r="E127" t="str">
            <v>3489C</v>
          </cell>
          <cell r="F127" t="str">
            <v>Sikap</v>
          </cell>
          <cell r="G127" t="str">
            <v>SB</v>
          </cell>
          <cell r="H127" t="str">
            <v>SB</v>
          </cell>
          <cell r="I127" t="str">
            <v>B</v>
          </cell>
          <cell r="J127" t="str">
            <v>B</v>
          </cell>
          <cell r="K127" t="str">
            <v>B</v>
          </cell>
          <cell r="L127" t="str">
            <v>C</v>
          </cell>
          <cell r="M127" t="str">
            <v>SB</v>
          </cell>
          <cell r="N127" t="str">
            <v>B</v>
          </cell>
          <cell r="O127" t="str">
            <v>C</v>
          </cell>
          <cell r="P127" t="str">
            <v>C</v>
          </cell>
          <cell r="Q127" t="str">
            <v>C</v>
          </cell>
          <cell r="R127" t="str">
            <v>C</v>
          </cell>
          <cell r="S127" t="str">
            <v>C</v>
          </cell>
          <cell r="T127" t="str">
            <v>C</v>
          </cell>
          <cell r="U127" t="str">
            <v>C</v>
          </cell>
          <cell r="AF127" t="e">
            <v>#DIV/0!</v>
          </cell>
        </row>
        <row r="128">
          <cell r="B128">
            <v>40</v>
          </cell>
          <cell r="C128">
            <v>3490</v>
          </cell>
          <cell r="D128" t="str">
            <v>SI DIA</v>
          </cell>
          <cell r="E128" t="str">
            <v>3490A</v>
          </cell>
          <cell r="F128" t="str">
            <v>Peng.</v>
          </cell>
          <cell r="G128">
            <v>85</v>
          </cell>
          <cell r="H128">
            <v>83</v>
          </cell>
          <cell r="I128">
            <v>83</v>
          </cell>
          <cell r="J128">
            <v>74</v>
          </cell>
          <cell r="K128">
            <v>63</v>
          </cell>
          <cell r="L128">
            <v>65</v>
          </cell>
          <cell r="M128">
            <v>60</v>
          </cell>
          <cell r="N128">
            <v>57</v>
          </cell>
          <cell r="O128">
            <v>77</v>
          </cell>
          <cell r="P128">
            <v>77</v>
          </cell>
          <cell r="Q128">
            <v>77</v>
          </cell>
          <cell r="R128">
            <v>77</v>
          </cell>
          <cell r="S128">
            <v>77</v>
          </cell>
          <cell r="T128">
            <v>77</v>
          </cell>
          <cell r="U128">
            <v>77</v>
          </cell>
          <cell r="AF128">
            <v>73.933333333333337</v>
          </cell>
        </row>
        <row r="129">
          <cell r="E129" t="str">
            <v>3490B</v>
          </cell>
          <cell r="F129" t="str">
            <v>Prak.</v>
          </cell>
          <cell r="G129">
            <v>85</v>
          </cell>
          <cell r="H129">
            <v>83</v>
          </cell>
          <cell r="I129">
            <v>83</v>
          </cell>
          <cell r="J129">
            <v>74</v>
          </cell>
          <cell r="K129">
            <v>63</v>
          </cell>
          <cell r="L129">
            <v>65</v>
          </cell>
          <cell r="M129">
            <v>60</v>
          </cell>
          <cell r="N129">
            <v>57</v>
          </cell>
          <cell r="O129">
            <v>77</v>
          </cell>
          <cell r="P129">
            <v>77</v>
          </cell>
          <cell r="Q129">
            <v>77</v>
          </cell>
          <cell r="R129">
            <v>77</v>
          </cell>
          <cell r="S129">
            <v>77</v>
          </cell>
          <cell r="T129">
            <v>77</v>
          </cell>
          <cell r="U129">
            <v>77</v>
          </cell>
          <cell r="AF129">
            <v>73.933333333333337</v>
          </cell>
        </row>
        <row r="130">
          <cell r="E130" t="str">
            <v>3490C</v>
          </cell>
          <cell r="F130" t="str">
            <v>Sikap</v>
          </cell>
          <cell r="G130" t="str">
            <v>SB</v>
          </cell>
          <cell r="H130" t="str">
            <v>SB</v>
          </cell>
          <cell r="I130" t="str">
            <v>B</v>
          </cell>
          <cell r="J130" t="str">
            <v>B</v>
          </cell>
          <cell r="K130" t="str">
            <v>B</v>
          </cell>
          <cell r="L130" t="str">
            <v>C</v>
          </cell>
          <cell r="M130" t="str">
            <v>SB</v>
          </cell>
          <cell r="N130" t="str">
            <v>B</v>
          </cell>
          <cell r="O130" t="str">
            <v>C</v>
          </cell>
          <cell r="P130" t="str">
            <v>C</v>
          </cell>
          <cell r="Q130" t="str">
            <v>C</v>
          </cell>
          <cell r="R130" t="str">
            <v>C</v>
          </cell>
          <cell r="S130" t="str">
            <v>C</v>
          </cell>
          <cell r="T130" t="str">
            <v>C</v>
          </cell>
          <cell r="U130" t="str">
            <v>C</v>
          </cell>
          <cell r="AF130" t="e">
            <v>#DIV/0!</v>
          </cell>
        </row>
        <row r="131">
          <cell r="B131">
            <v>41</v>
          </cell>
          <cell r="C131">
            <v>3491</v>
          </cell>
          <cell r="D131" t="str">
            <v>x</v>
          </cell>
          <cell r="E131" t="str">
            <v>3491A</v>
          </cell>
          <cell r="F131" t="str">
            <v>Peng.</v>
          </cell>
          <cell r="AF131" t="e">
            <v>#DIV/0!</v>
          </cell>
        </row>
        <row r="132">
          <cell r="E132" t="str">
            <v>3491B</v>
          </cell>
          <cell r="F132" t="str">
            <v>Prak.</v>
          </cell>
          <cell r="AF132" t="e">
            <v>#DIV/0!</v>
          </cell>
        </row>
        <row r="133">
          <cell r="E133" t="str">
            <v>3491C</v>
          </cell>
          <cell r="F133" t="str">
            <v>Sikap</v>
          </cell>
          <cell r="AF133" t="e">
            <v>#DIV/0!</v>
          </cell>
        </row>
        <row r="134">
          <cell r="B134">
            <v>42</v>
          </cell>
          <cell r="C134">
            <v>3492</v>
          </cell>
          <cell r="D134" t="str">
            <v>x</v>
          </cell>
          <cell r="E134" t="str">
            <v>3492A</v>
          </cell>
          <cell r="F134" t="str">
            <v>Peng.</v>
          </cell>
          <cell r="AF134" t="e">
            <v>#DIV/0!</v>
          </cell>
        </row>
        <row r="135">
          <cell r="E135" t="str">
            <v>3492B</v>
          </cell>
          <cell r="F135" t="str">
            <v>Prak.</v>
          </cell>
          <cell r="AF135" t="e">
            <v>#DIV/0!</v>
          </cell>
        </row>
        <row r="136">
          <cell r="E136" t="str">
            <v>3492C</v>
          </cell>
          <cell r="F136" t="str">
            <v>Sikap</v>
          </cell>
          <cell r="AF136" t="e">
            <v>#DIV/0!</v>
          </cell>
        </row>
        <row r="138">
          <cell r="Z138" t="str">
            <v>Samarinda, 31 Desember 2013</v>
          </cell>
          <cell r="AA138" t="str">
            <v>31 Desember 2010</v>
          </cell>
        </row>
        <row r="139">
          <cell r="Z139" t="str">
            <v>Wali Kelas,</v>
          </cell>
        </row>
        <row r="143">
          <cell r="Z143" t="str">
            <v>Syaidah, S.Pd</v>
          </cell>
        </row>
        <row r="144">
          <cell r="Z144" t="str">
            <v>NIP. 19680401 199412 2 001</v>
          </cell>
        </row>
      </sheetData>
      <sheetData sheetId="25"/>
      <sheetData sheetId="26"/>
      <sheetData sheetId="27">
        <row r="2">
          <cell r="B2" t="str">
            <v>Score Nilai</v>
          </cell>
          <cell r="C2" t="str">
            <v>Predik</v>
          </cell>
          <cell r="D2" t="str">
            <v>Nilai Kompetensi</v>
          </cell>
        </row>
        <row r="3">
          <cell r="D3" t="str">
            <v>Pengetahuan</v>
          </cell>
          <cell r="E3" t="str">
            <v>Keterampilan</v>
          </cell>
        </row>
        <row r="4">
          <cell r="B4">
            <v>1</v>
          </cell>
          <cell r="C4" t="str">
            <v>D</v>
          </cell>
          <cell r="D4">
            <v>0.33</v>
          </cell>
          <cell r="E4">
            <v>0.33</v>
          </cell>
        </row>
        <row r="5">
          <cell r="B5">
            <v>2</v>
          </cell>
          <cell r="C5" t="str">
            <v>D</v>
          </cell>
          <cell r="D5">
            <v>0.33</v>
          </cell>
          <cell r="E5">
            <v>0.33</v>
          </cell>
        </row>
        <row r="6">
          <cell r="B6">
            <v>3</v>
          </cell>
          <cell r="C6" t="str">
            <v>D</v>
          </cell>
          <cell r="D6">
            <v>0.33</v>
          </cell>
          <cell r="E6">
            <v>0.33</v>
          </cell>
        </row>
        <row r="7">
          <cell r="B7">
            <v>4</v>
          </cell>
          <cell r="C7" t="str">
            <v>D</v>
          </cell>
          <cell r="D7">
            <v>0.33</v>
          </cell>
          <cell r="E7">
            <v>0.33</v>
          </cell>
        </row>
        <row r="8">
          <cell r="B8">
            <v>5</v>
          </cell>
          <cell r="C8" t="str">
            <v>D</v>
          </cell>
          <cell r="D8">
            <v>0.33</v>
          </cell>
          <cell r="E8">
            <v>0.33</v>
          </cell>
        </row>
        <row r="9">
          <cell r="B9">
            <v>6</v>
          </cell>
          <cell r="C9" t="str">
            <v>D</v>
          </cell>
          <cell r="D9">
            <v>0.33</v>
          </cell>
          <cell r="E9">
            <v>0.33</v>
          </cell>
        </row>
        <row r="10">
          <cell r="B10">
            <v>7</v>
          </cell>
          <cell r="C10" t="str">
            <v>D</v>
          </cell>
          <cell r="D10">
            <v>0.33</v>
          </cell>
          <cell r="E10">
            <v>0.33</v>
          </cell>
        </row>
        <row r="11">
          <cell r="B11">
            <v>8</v>
          </cell>
          <cell r="C11" t="str">
            <v>D</v>
          </cell>
          <cell r="D11">
            <v>0.33</v>
          </cell>
          <cell r="E11">
            <v>0.33</v>
          </cell>
        </row>
        <row r="12">
          <cell r="B12">
            <v>9</v>
          </cell>
          <cell r="C12" t="str">
            <v>D</v>
          </cell>
          <cell r="D12">
            <v>0.33</v>
          </cell>
          <cell r="E12">
            <v>0.33</v>
          </cell>
        </row>
        <row r="13">
          <cell r="B13">
            <v>10</v>
          </cell>
          <cell r="C13" t="str">
            <v>D</v>
          </cell>
          <cell r="D13">
            <v>0.33</v>
          </cell>
          <cell r="E13">
            <v>0.33</v>
          </cell>
        </row>
        <row r="14">
          <cell r="B14">
            <v>11</v>
          </cell>
          <cell r="C14" t="str">
            <v>D</v>
          </cell>
          <cell r="D14">
            <v>0.33</v>
          </cell>
          <cell r="E14">
            <v>0.33</v>
          </cell>
        </row>
        <row r="15">
          <cell r="B15">
            <v>12</v>
          </cell>
          <cell r="C15" t="str">
            <v>D</v>
          </cell>
          <cell r="D15">
            <v>0.33</v>
          </cell>
          <cell r="E15">
            <v>0.33</v>
          </cell>
        </row>
        <row r="16">
          <cell r="B16">
            <v>13</v>
          </cell>
          <cell r="C16" t="str">
            <v>D</v>
          </cell>
          <cell r="D16">
            <v>0.33</v>
          </cell>
          <cell r="E16">
            <v>0.33</v>
          </cell>
        </row>
        <row r="17">
          <cell r="B17">
            <v>14</v>
          </cell>
          <cell r="C17" t="str">
            <v>D</v>
          </cell>
          <cell r="D17">
            <v>0.33</v>
          </cell>
          <cell r="E17">
            <v>0.33</v>
          </cell>
        </row>
        <row r="18">
          <cell r="B18">
            <v>15</v>
          </cell>
          <cell r="C18" t="str">
            <v>D</v>
          </cell>
          <cell r="D18">
            <v>0.33</v>
          </cell>
          <cell r="E18">
            <v>0.33</v>
          </cell>
        </row>
        <row r="19">
          <cell r="B19">
            <v>16</v>
          </cell>
          <cell r="C19" t="str">
            <v>D</v>
          </cell>
          <cell r="D19">
            <v>0.33</v>
          </cell>
          <cell r="E19">
            <v>0.33</v>
          </cell>
        </row>
        <row r="20">
          <cell r="B20">
            <v>17</v>
          </cell>
          <cell r="C20" t="str">
            <v>D</v>
          </cell>
          <cell r="D20">
            <v>0.33</v>
          </cell>
          <cell r="E20">
            <v>0.33</v>
          </cell>
        </row>
        <row r="21">
          <cell r="B21">
            <v>18</v>
          </cell>
          <cell r="C21" t="str">
            <v>D</v>
          </cell>
          <cell r="D21">
            <v>0.33</v>
          </cell>
          <cell r="E21">
            <v>0.33</v>
          </cell>
        </row>
        <row r="22">
          <cell r="B22">
            <v>19</v>
          </cell>
          <cell r="C22" t="str">
            <v>D</v>
          </cell>
          <cell r="D22">
            <v>0.33</v>
          </cell>
          <cell r="E22">
            <v>0.33</v>
          </cell>
        </row>
        <row r="23">
          <cell r="B23">
            <v>20</v>
          </cell>
          <cell r="C23" t="str">
            <v>D</v>
          </cell>
          <cell r="D23">
            <v>0.33</v>
          </cell>
          <cell r="E23">
            <v>0.33</v>
          </cell>
        </row>
        <row r="24">
          <cell r="B24">
            <v>21</v>
          </cell>
          <cell r="C24" t="str">
            <v>D</v>
          </cell>
          <cell r="D24">
            <v>0.33</v>
          </cell>
          <cell r="E24">
            <v>0.33</v>
          </cell>
        </row>
        <row r="25">
          <cell r="B25">
            <v>22</v>
          </cell>
          <cell r="C25" t="str">
            <v>D</v>
          </cell>
          <cell r="D25">
            <v>0.33</v>
          </cell>
          <cell r="E25">
            <v>0.33</v>
          </cell>
        </row>
        <row r="26">
          <cell r="B26">
            <v>23</v>
          </cell>
          <cell r="C26" t="str">
            <v>D</v>
          </cell>
          <cell r="D26">
            <v>0.33</v>
          </cell>
          <cell r="E26">
            <v>0.33</v>
          </cell>
        </row>
        <row r="27">
          <cell r="B27">
            <v>24</v>
          </cell>
          <cell r="C27" t="str">
            <v>D</v>
          </cell>
          <cell r="D27">
            <v>0.33</v>
          </cell>
          <cell r="E27">
            <v>0.33</v>
          </cell>
        </row>
        <row r="28">
          <cell r="B28">
            <v>25</v>
          </cell>
          <cell r="C28" t="str">
            <v>D</v>
          </cell>
          <cell r="D28">
            <v>0.33</v>
          </cell>
          <cell r="E28">
            <v>0.33</v>
          </cell>
        </row>
        <row r="29">
          <cell r="B29">
            <v>26</v>
          </cell>
          <cell r="C29" t="str">
            <v>D</v>
          </cell>
          <cell r="D29">
            <v>0.33</v>
          </cell>
          <cell r="E29">
            <v>0.33</v>
          </cell>
        </row>
        <row r="30">
          <cell r="B30">
            <v>27</v>
          </cell>
          <cell r="C30" t="str">
            <v>D</v>
          </cell>
          <cell r="D30">
            <v>0.33</v>
          </cell>
          <cell r="E30">
            <v>0.33</v>
          </cell>
        </row>
        <row r="31">
          <cell r="B31">
            <v>28</v>
          </cell>
          <cell r="C31" t="str">
            <v>D</v>
          </cell>
          <cell r="D31">
            <v>0.33</v>
          </cell>
          <cell r="E31">
            <v>0.33</v>
          </cell>
        </row>
        <row r="32">
          <cell r="B32">
            <v>29</v>
          </cell>
          <cell r="C32" t="str">
            <v>D</v>
          </cell>
          <cell r="D32">
            <v>0.33</v>
          </cell>
          <cell r="E32">
            <v>0.33</v>
          </cell>
        </row>
        <row r="33">
          <cell r="B33">
            <v>30</v>
          </cell>
          <cell r="C33" t="str">
            <v>D</v>
          </cell>
          <cell r="D33">
            <v>0.33</v>
          </cell>
          <cell r="E33">
            <v>0.33</v>
          </cell>
        </row>
        <row r="34">
          <cell r="B34">
            <v>31</v>
          </cell>
          <cell r="C34" t="str">
            <v>D</v>
          </cell>
          <cell r="D34">
            <v>0.33</v>
          </cell>
          <cell r="E34">
            <v>0.33</v>
          </cell>
        </row>
        <row r="35">
          <cell r="B35">
            <v>32</v>
          </cell>
          <cell r="C35" t="str">
            <v>D</v>
          </cell>
          <cell r="D35">
            <v>0.33</v>
          </cell>
          <cell r="E35">
            <v>0.33</v>
          </cell>
        </row>
        <row r="36">
          <cell r="B36">
            <v>33</v>
          </cell>
          <cell r="C36" t="str">
            <v>D</v>
          </cell>
          <cell r="D36">
            <v>0.33</v>
          </cell>
          <cell r="E36">
            <v>0.33</v>
          </cell>
        </row>
        <row r="37">
          <cell r="B37">
            <v>34</v>
          </cell>
          <cell r="C37" t="str">
            <v>D</v>
          </cell>
          <cell r="D37">
            <v>0.33</v>
          </cell>
          <cell r="E37">
            <v>0.33</v>
          </cell>
        </row>
        <row r="38">
          <cell r="B38">
            <v>35</v>
          </cell>
          <cell r="C38" t="str">
            <v>D</v>
          </cell>
          <cell r="D38">
            <v>0.33</v>
          </cell>
          <cell r="E38">
            <v>0.33</v>
          </cell>
        </row>
        <row r="39">
          <cell r="B39">
            <v>36</v>
          </cell>
          <cell r="C39" t="str">
            <v>D</v>
          </cell>
          <cell r="D39">
            <v>0.33</v>
          </cell>
          <cell r="E39">
            <v>0.33</v>
          </cell>
        </row>
        <row r="40">
          <cell r="B40">
            <v>37</v>
          </cell>
          <cell r="C40" t="str">
            <v>D</v>
          </cell>
          <cell r="D40">
            <v>0.33</v>
          </cell>
          <cell r="E40">
            <v>0.33</v>
          </cell>
        </row>
        <row r="41">
          <cell r="B41">
            <v>38</v>
          </cell>
          <cell r="C41" t="str">
            <v>D</v>
          </cell>
          <cell r="D41">
            <v>0.33</v>
          </cell>
          <cell r="E41">
            <v>0.33</v>
          </cell>
        </row>
        <row r="42">
          <cell r="B42">
            <v>39</v>
          </cell>
          <cell r="C42" t="str">
            <v>D</v>
          </cell>
          <cell r="D42">
            <v>0.33</v>
          </cell>
          <cell r="E42">
            <v>0.33</v>
          </cell>
        </row>
        <row r="43">
          <cell r="B43">
            <v>40</v>
          </cell>
          <cell r="C43" t="str">
            <v>D</v>
          </cell>
          <cell r="D43">
            <v>0.33</v>
          </cell>
          <cell r="E43">
            <v>0.33</v>
          </cell>
        </row>
        <row r="44">
          <cell r="B44">
            <v>41</v>
          </cell>
          <cell r="C44" t="str">
            <v>D</v>
          </cell>
          <cell r="D44">
            <v>0.67</v>
          </cell>
          <cell r="E44">
            <v>0.67</v>
          </cell>
        </row>
        <row r="45">
          <cell r="B45">
            <v>42</v>
          </cell>
          <cell r="C45" t="str">
            <v>D</v>
          </cell>
          <cell r="D45">
            <v>0.67</v>
          </cell>
          <cell r="E45">
            <v>0.67</v>
          </cell>
        </row>
        <row r="46">
          <cell r="B46">
            <v>43</v>
          </cell>
          <cell r="C46" t="str">
            <v>D</v>
          </cell>
          <cell r="D46">
            <v>0.67</v>
          </cell>
          <cell r="E46">
            <v>0.67</v>
          </cell>
        </row>
        <row r="47">
          <cell r="B47">
            <v>44</v>
          </cell>
          <cell r="C47" t="str">
            <v>D</v>
          </cell>
          <cell r="D47">
            <v>0.67</v>
          </cell>
          <cell r="E47">
            <v>0.67</v>
          </cell>
        </row>
        <row r="48">
          <cell r="B48">
            <v>45</v>
          </cell>
          <cell r="C48" t="str">
            <v>D</v>
          </cell>
          <cell r="D48">
            <v>0.67</v>
          </cell>
          <cell r="E48">
            <v>0.67</v>
          </cell>
        </row>
        <row r="49">
          <cell r="B49">
            <v>46</v>
          </cell>
          <cell r="C49" t="str">
            <v>D</v>
          </cell>
          <cell r="D49">
            <v>0.67</v>
          </cell>
          <cell r="E49">
            <v>0.67</v>
          </cell>
        </row>
        <row r="50">
          <cell r="B50">
            <v>47</v>
          </cell>
          <cell r="C50" t="str">
            <v>D</v>
          </cell>
          <cell r="D50">
            <v>0.67</v>
          </cell>
          <cell r="E50">
            <v>0.67</v>
          </cell>
        </row>
        <row r="51">
          <cell r="B51">
            <v>48</v>
          </cell>
          <cell r="C51" t="str">
            <v>D</v>
          </cell>
          <cell r="D51">
            <v>0.67</v>
          </cell>
          <cell r="E51">
            <v>0.67</v>
          </cell>
        </row>
        <row r="52">
          <cell r="B52">
            <v>49</v>
          </cell>
          <cell r="C52" t="str">
            <v>D</v>
          </cell>
          <cell r="D52">
            <v>0.67</v>
          </cell>
          <cell r="E52">
            <v>0.67</v>
          </cell>
        </row>
        <row r="53">
          <cell r="B53">
            <v>50</v>
          </cell>
          <cell r="C53" t="str">
            <v>D</v>
          </cell>
          <cell r="D53">
            <v>0.67</v>
          </cell>
          <cell r="E53">
            <v>0.67</v>
          </cell>
        </row>
        <row r="54">
          <cell r="B54">
            <v>51</v>
          </cell>
          <cell r="C54" t="str">
            <v>D</v>
          </cell>
          <cell r="D54">
            <v>1</v>
          </cell>
          <cell r="E54">
            <v>1</v>
          </cell>
        </row>
        <row r="55">
          <cell r="B55">
            <v>52</v>
          </cell>
          <cell r="C55" t="str">
            <v>D</v>
          </cell>
          <cell r="D55">
            <v>1</v>
          </cell>
          <cell r="E55">
            <v>1</v>
          </cell>
        </row>
        <row r="56">
          <cell r="B56">
            <v>53</v>
          </cell>
          <cell r="C56" t="str">
            <v>D</v>
          </cell>
          <cell r="D56">
            <v>1</v>
          </cell>
          <cell r="E56">
            <v>1</v>
          </cell>
        </row>
        <row r="57">
          <cell r="B57">
            <v>54</v>
          </cell>
          <cell r="C57" t="str">
            <v>D</v>
          </cell>
          <cell r="D57">
            <v>1</v>
          </cell>
          <cell r="E57">
            <v>1</v>
          </cell>
        </row>
        <row r="58">
          <cell r="B58">
            <v>55</v>
          </cell>
          <cell r="C58" t="str">
            <v>D</v>
          </cell>
          <cell r="D58">
            <v>1</v>
          </cell>
          <cell r="E58">
            <v>1</v>
          </cell>
        </row>
        <row r="59">
          <cell r="B59">
            <v>56</v>
          </cell>
          <cell r="C59" t="str">
            <v>D+</v>
          </cell>
          <cell r="D59">
            <v>1.33</v>
          </cell>
          <cell r="E59">
            <v>1.33</v>
          </cell>
        </row>
        <row r="60">
          <cell r="B60">
            <v>57</v>
          </cell>
          <cell r="C60" t="str">
            <v>D+</v>
          </cell>
          <cell r="D60">
            <v>1.33</v>
          </cell>
          <cell r="E60">
            <v>1.33</v>
          </cell>
        </row>
        <row r="61">
          <cell r="B61">
            <v>58</v>
          </cell>
          <cell r="C61" t="str">
            <v>D+</v>
          </cell>
          <cell r="D61">
            <v>1.33</v>
          </cell>
          <cell r="E61">
            <v>1.33</v>
          </cell>
        </row>
        <row r="62">
          <cell r="B62">
            <v>59</v>
          </cell>
          <cell r="C62" t="str">
            <v>D+</v>
          </cell>
          <cell r="D62">
            <v>1.33</v>
          </cell>
          <cell r="E62">
            <v>1.33</v>
          </cell>
        </row>
        <row r="63">
          <cell r="B63">
            <v>60</v>
          </cell>
          <cell r="C63" t="str">
            <v>D+</v>
          </cell>
          <cell r="D63">
            <v>1.33</v>
          </cell>
          <cell r="E63">
            <v>1.33</v>
          </cell>
        </row>
        <row r="64">
          <cell r="B64">
            <v>61</v>
          </cell>
          <cell r="C64" t="str">
            <v>C-</v>
          </cell>
          <cell r="D64">
            <v>1.67</v>
          </cell>
          <cell r="E64">
            <v>1.67</v>
          </cell>
        </row>
        <row r="65">
          <cell r="B65">
            <v>62</v>
          </cell>
          <cell r="C65" t="str">
            <v>C-</v>
          </cell>
          <cell r="D65">
            <v>1.67</v>
          </cell>
          <cell r="E65">
            <v>1.67</v>
          </cell>
        </row>
        <row r="66">
          <cell r="B66">
            <v>63</v>
          </cell>
          <cell r="C66" t="str">
            <v>C-</v>
          </cell>
          <cell r="D66">
            <v>1.67</v>
          </cell>
          <cell r="E66">
            <v>1.67</v>
          </cell>
        </row>
        <row r="67">
          <cell r="B67">
            <v>64</v>
          </cell>
          <cell r="C67" t="str">
            <v>C-</v>
          </cell>
          <cell r="D67">
            <v>1.67</v>
          </cell>
          <cell r="E67">
            <v>1.67</v>
          </cell>
        </row>
        <row r="68">
          <cell r="B68">
            <v>65</v>
          </cell>
          <cell r="C68" t="str">
            <v>C-</v>
          </cell>
          <cell r="D68">
            <v>1.67</v>
          </cell>
          <cell r="E68">
            <v>1.67</v>
          </cell>
        </row>
        <row r="69">
          <cell r="B69">
            <v>66</v>
          </cell>
          <cell r="C69" t="str">
            <v>C</v>
          </cell>
          <cell r="D69">
            <v>2</v>
          </cell>
          <cell r="E69">
            <v>2</v>
          </cell>
        </row>
        <row r="70">
          <cell r="B70">
            <v>67</v>
          </cell>
          <cell r="C70" t="str">
            <v>C</v>
          </cell>
          <cell r="D70">
            <v>2</v>
          </cell>
          <cell r="E70">
            <v>2</v>
          </cell>
        </row>
        <row r="71">
          <cell r="B71">
            <v>68</v>
          </cell>
          <cell r="C71" t="str">
            <v>C</v>
          </cell>
          <cell r="D71">
            <v>2</v>
          </cell>
          <cell r="E71">
            <v>2</v>
          </cell>
        </row>
        <row r="72">
          <cell r="B72">
            <v>69</v>
          </cell>
          <cell r="C72" t="str">
            <v>C</v>
          </cell>
          <cell r="D72">
            <v>2</v>
          </cell>
          <cell r="E72">
            <v>2</v>
          </cell>
        </row>
        <row r="73">
          <cell r="B73">
            <v>70</v>
          </cell>
          <cell r="C73" t="str">
            <v>C</v>
          </cell>
          <cell r="D73">
            <v>2</v>
          </cell>
          <cell r="E73">
            <v>2</v>
          </cell>
        </row>
        <row r="74">
          <cell r="B74">
            <v>71</v>
          </cell>
          <cell r="C74" t="str">
            <v>C+</v>
          </cell>
          <cell r="D74">
            <v>2.33</v>
          </cell>
          <cell r="E74">
            <v>2.33</v>
          </cell>
        </row>
        <row r="75">
          <cell r="B75">
            <v>72</v>
          </cell>
          <cell r="C75" t="str">
            <v>C+</v>
          </cell>
          <cell r="D75">
            <v>2.33</v>
          </cell>
          <cell r="E75">
            <v>2.33</v>
          </cell>
        </row>
        <row r="76">
          <cell r="B76">
            <v>73</v>
          </cell>
          <cell r="C76" t="str">
            <v>C+</v>
          </cell>
          <cell r="D76">
            <v>2.33</v>
          </cell>
          <cell r="E76">
            <v>2.33</v>
          </cell>
        </row>
        <row r="77">
          <cell r="B77">
            <v>74</v>
          </cell>
          <cell r="C77" t="str">
            <v>C+</v>
          </cell>
          <cell r="D77">
            <v>2.33</v>
          </cell>
          <cell r="E77">
            <v>2.33</v>
          </cell>
        </row>
        <row r="78">
          <cell r="B78">
            <v>75</v>
          </cell>
          <cell r="C78" t="str">
            <v>C+</v>
          </cell>
          <cell r="D78">
            <v>2.33</v>
          </cell>
          <cell r="E78">
            <v>2.33</v>
          </cell>
        </row>
        <row r="79">
          <cell r="B79">
            <v>76</v>
          </cell>
          <cell r="C79" t="str">
            <v>B-</v>
          </cell>
          <cell r="D79">
            <v>2.67</v>
          </cell>
          <cell r="E79">
            <v>2.67</v>
          </cell>
        </row>
        <row r="80">
          <cell r="B80">
            <v>77</v>
          </cell>
          <cell r="C80" t="str">
            <v>B-</v>
          </cell>
          <cell r="D80">
            <v>2.67</v>
          </cell>
          <cell r="E80">
            <v>2.67</v>
          </cell>
        </row>
        <row r="81">
          <cell r="B81">
            <v>78</v>
          </cell>
          <cell r="C81" t="str">
            <v>B-</v>
          </cell>
          <cell r="D81">
            <v>2.67</v>
          </cell>
          <cell r="E81">
            <v>2.67</v>
          </cell>
        </row>
        <row r="82">
          <cell r="B82">
            <v>79</v>
          </cell>
          <cell r="C82" t="str">
            <v>B-</v>
          </cell>
          <cell r="D82">
            <v>2.67</v>
          </cell>
          <cell r="E82">
            <v>2.67</v>
          </cell>
        </row>
        <row r="83">
          <cell r="B83">
            <v>80</v>
          </cell>
          <cell r="C83" t="str">
            <v>B-</v>
          </cell>
          <cell r="D83">
            <v>2.67</v>
          </cell>
          <cell r="E83">
            <v>2.67</v>
          </cell>
        </row>
        <row r="84">
          <cell r="B84">
            <v>81</v>
          </cell>
          <cell r="C84" t="str">
            <v>B</v>
          </cell>
          <cell r="D84">
            <v>3</v>
          </cell>
          <cell r="E84">
            <v>3</v>
          </cell>
        </row>
        <row r="85">
          <cell r="B85">
            <v>82</v>
          </cell>
          <cell r="C85" t="str">
            <v>B</v>
          </cell>
          <cell r="D85">
            <v>3</v>
          </cell>
          <cell r="E85">
            <v>3</v>
          </cell>
        </row>
        <row r="86">
          <cell r="B86">
            <v>83</v>
          </cell>
          <cell r="C86" t="str">
            <v>B</v>
          </cell>
          <cell r="D86">
            <v>3</v>
          </cell>
          <cell r="E86">
            <v>3</v>
          </cell>
        </row>
        <row r="87">
          <cell r="B87">
            <v>84</v>
          </cell>
          <cell r="C87" t="str">
            <v>B</v>
          </cell>
          <cell r="D87">
            <v>3</v>
          </cell>
          <cell r="E87">
            <v>3</v>
          </cell>
        </row>
        <row r="88">
          <cell r="B88">
            <v>85</v>
          </cell>
          <cell r="C88" t="str">
            <v>B</v>
          </cell>
          <cell r="D88">
            <v>3</v>
          </cell>
          <cell r="E88">
            <v>3</v>
          </cell>
        </row>
        <row r="89">
          <cell r="B89">
            <v>86</v>
          </cell>
          <cell r="C89" t="str">
            <v>B+</v>
          </cell>
          <cell r="D89">
            <v>3.33</v>
          </cell>
          <cell r="E89">
            <v>3.33</v>
          </cell>
        </row>
        <row r="90">
          <cell r="B90">
            <v>87</v>
          </cell>
          <cell r="C90" t="str">
            <v>B+</v>
          </cell>
          <cell r="D90">
            <v>3.33</v>
          </cell>
          <cell r="E90">
            <v>3.33</v>
          </cell>
        </row>
        <row r="91">
          <cell r="B91">
            <v>88</v>
          </cell>
          <cell r="C91" t="str">
            <v>B+</v>
          </cell>
          <cell r="D91">
            <v>3.33</v>
          </cell>
          <cell r="E91">
            <v>3.33</v>
          </cell>
        </row>
        <row r="92">
          <cell r="B92">
            <v>89</v>
          </cell>
          <cell r="C92" t="str">
            <v>B+</v>
          </cell>
          <cell r="D92">
            <v>3.33</v>
          </cell>
          <cell r="E92">
            <v>3.33</v>
          </cell>
        </row>
        <row r="93">
          <cell r="B93">
            <v>90</v>
          </cell>
          <cell r="C93" t="str">
            <v>B+</v>
          </cell>
          <cell r="D93">
            <v>3.33</v>
          </cell>
          <cell r="E93">
            <v>3.33</v>
          </cell>
        </row>
        <row r="94">
          <cell r="B94">
            <v>91</v>
          </cell>
          <cell r="C94" t="str">
            <v>A-</v>
          </cell>
          <cell r="D94">
            <v>3.67</v>
          </cell>
          <cell r="E94">
            <v>3.67</v>
          </cell>
        </row>
        <row r="95">
          <cell r="B95">
            <v>92</v>
          </cell>
          <cell r="C95" t="str">
            <v>A-</v>
          </cell>
          <cell r="D95">
            <v>3.67</v>
          </cell>
          <cell r="E95">
            <v>3.67</v>
          </cell>
        </row>
        <row r="96">
          <cell r="B96">
            <v>93</v>
          </cell>
          <cell r="C96" t="str">
            <v>A-</v>
          </cell>
          <cell r="D96">
            <v>3.67</v>
          </cell>
          <cell r="E96">
            <v>3.67</v>
          </cell>
        </row>
        <row r="97">
          <cell r="B97">
            <v>94</v>
          </cell>
          <cell r="C97" t="str">
            <v>A-</v>
          </cell>
          <cell r="D97">
            <v>3.67</v>
          </cell>
          <cell r="E97">
            <v>3.67</v>
          </cell>
        </row>
        <row r="98">
          <cell r="B98">
            <v>95</v>
          </cell>
          <cell r="C98" t="str">
            <v>A-</v>
          </cell>
          <cell r="D98">
            <v>3.67</v>
          </cell>
          <cell r="E98">
            <v>3.67</v>
          </cell>
        </row>
        <row r="99">
          <cell r="B99">
            <v>96</v>
          </cell>
          <cell r="C99" t="str">
            <v>A</v>
          </cell>
          <cell r="D99">
            <v>4</v>
          </cell>
          <cell r="E99">
            <v>4</v>
          </cell>
        </row>
        <row r="100">
          <cell r="B100">
            <v>97</v>
          </cell>
          <cell r="C100" t="str">
            <v>A</v>
          </cell>
          <cell r="D100">
            <v>4</v>
          </cell>
          <cell r="E100">
            <v>4</v>
          </cell>
        </row>
        <row r="101">
          <cell r="B101">
            <v>98</v>
          </cell>
          <cell r="C101" t="str">
            <v>A</v>
          </cell>
          <cell r="D101">
            <v>4</v>
          </cell>
          <cell r="E101">
            <v>4</v>
          </cell>
        </row>
        <row r="102">
          <cell r="B102">
            <v>99</v>
          </cell>
          <cell r="C102" t="str">
            <v>A</v>
          </cell>
          <cell r="D102">
            <v>4</v>
          </cell>
          <cell r="E102">
            <v>4</v>
          </cell>
        </row>
        <row r="103">
          <cell r="B103">
            <v>100</v>
          </cell>
          <cell r="C103" t="str">
            <v>A</v>
          </cell>
          <cell r="D103">
            <v>4</v>
          </cell>
          <cell r="E103">
            <v>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DataGuru"/>
      <sheetName val="DataSiswa"/>
      <sheetName val="Deskripsi Tiap Mapel"/>
      <sheetName val="Agama"/>
      <sheetName val="PKN"/>
      <sheetName val="BIndonesia"/>
      <sheetName val="Matematika"/>
      <sheetName val="IPA"/>
      <sheetName val="IPS"/>
      <sheetName val="BInggris"/>
      <sheetName val="SENIBUDAYA"/>
      <sheetName val="PENJASKES"/>
      <sheetName val="Prakarya"/>
      <sheetName val="Mulok"/>
      <sheetName val="Ekstrakurikuler"/>
      <sheetName val="Ketidakhadiran"/>
      <sheetName val="Leger"/>
      <sheetName val="Leger2"/>
      <sheetName val="leger3"/>
      <sheetName val="CetakSampul"/>
      <sheetName val="Cetakbiodata"/>
      <sheetName val="CetakRaport"/>
    </sheetNames>
    <sheetDataSet>
      <sheetData sheetId="0" refreshError="1"/>
      <sheetData sheetId="1"/>
      <sheetData sheetId="2">
        <row r="6">
          <cell r="C6">
            <v>1</v>
          </cell>
          <cell r="D6" t="str">
            <v>014157001</v>
          </cell>
          <cell r="E6" t="str">
            <v>0022376543</v>
          </cell>
          <cell r="F6" t="str">
            <v>Allan Wijaya Kusuma</v>
          </cell>
          <cell r="G6" t="str">
            <v>Bogor, 13 Agustus 2002</v>
          </cell>
          <cell r="H6" t="str">
            <v>Laki-laki</v>
          </cell>
          <cell r="J6" t="str">
            <v>Anak Kandung</v>
          </cell>
          <cell r="K6" t="str">
            <v>2 dari 2</v>
          </cell>
          <cell r="L6" t="str">
            <v>Ds Taman Sari Rt.001/006 No.10 Rumpin, Bogor</v>
          </cell>
          <cell r="M6" t="str">
            <v>081380205763</v>
          </cell>
          <cell r="N6" t="str">
            <v>Ehipassiko School</v>
          </cell>
          <cell r="O6" t="str">
            <v>VII</v>
          </cell>
          <cell r="P6" t="str">
            <v>10 Juli 2014</v>
          </cell>
          <cell r="Q6" t="str">
            <v>Saleh Suardy</v>
          </cell>
          <cell r="R6" t="str">
            <v>Thati Ribka</v>
          </cell>
          <cell r="S6" t="str">
            <v>Ds. Taman sari Rt. 001/006 No. 10 rumpin, Bogor</v>
          </cell>
          <cell r="T6" t="str">
            <v>085718937177(P)/081298800639 (M)</v>
          </cell>
          <cell r="U6" t="str">
            <v>Wiraswasta</v>
          </cell>
          <cell r="V6" t="str">
            <v>Ibu Rumah Tangga</v>
          </cell>
        </row>
        <row r="7">
          <cell r="C7">
            <v>2</v>
          </cell>
          <cell r="D7" t="str">
            <v>014157002</v>
          </cell>
          <cell r="E7" t="str">
            <v>0022831472</v>
          </cell>
          <cell r="F7" t="str">
            <v>Alvito Kurniawan</v>
          </cell>
          <cell r="G7" t="str">
            <v>Jakarta, 26 Agustus 2002</v>
          </cell>
          <cell r="H7" t="str">
            <v>Laki-laki</v>
          </cell>
          <cell r="I7" t="str">
            <v>Budha</v>
          </cell>
          <cell r="J7" t="str">
            <v>Anak Kandung</v>
          </cell>
          <cell r="K7" t="str">
            <v>3 dari 3</v>
          </cell>
          <cell r="L7" t="str">
            <v>Jl. Tanjung 1 Blok K3 No.5 Rt.002/02 Sekt. 1.1 BSD</v>
          </cell>
          <cell r="M7" t="str">
            <v>0215384895</v>
          </cell>
          <cell r="N7" t="str">
            <v>Ehipassiko School</v>
          </cell>
          <cell r="O7" t="str">
            <v>VII</v>
          </cell>
          <cell r="P7" t="str">
            <v>10 Juli 2014</v>
          </cell>
          <cell r="Q7" t="str">
            <v>Lauw Tjoean Siang (alm)</v>
          </cell>
          <cell r="R7" t="str">
            <v>Susi Gunawan</v>
          </cell>
          <cell r="S7" t="str">
            <v>Jl. Tanjung ! Blok k3 No.5 Rt 002/02 sekt. 1.1 BSD</v>
          </cell>
          <cell r="T7" t="str">
            <v>5384895/92880699(M)</v>
          </cell>
          <cell r="V7" t="str">
            <v>Karyawan Swasta</v>
          </cell>
        </row>
        <row r="8">
          <cell r="C8">
            <v>3</v>
          </cell>
          <cell r="D8" t="str">
            <v>014157003</v>
          </cell>
          <cell r="E8" t="str">
            <v>0021892516</v>
          </cell>
          <cell r="F8" t="str">
            <v>Andrea Georgina Therik</v>
          </cell>
          <cell r="G8" t="str">
            <v>Jakarta, 9 Januari 2002</v>
          </cell>
          <cell r="H8" t="str">
            <v>Perempuan</v>
          </cell>
          <cell r="I8" t="str">
            <v>Kristen</v>
          </cell>
          <cell r="J8" t="str">
            <v>Anak Kandung</v>
          </cell>
          <cell r="K8" t="str">
            <v>3 dari 4</v>
          </cell>
          <cell r="L8" t="str">
            <v>Jl. Fajar kencana Blok.F2 Rt.002/014 No. 29 Rawa buntu</v>
          </cell>
          <cell r="M8" t="str">
            <v>02175874537</v>
          </cell>
          <cell r="N8" t="str">
            <v>Stella Maris</v>
          </cell>
          <cell r="O8" t="str">
            <v>VII</v>
          </cell>
          <cell r="P8" t="str">
            <v>10 Juli 2014</v>
          </cell>
          <cell r="Q8" t="str">
            <v>Anderson E Therik</v>
          </cell>
          <cell r="R8" t="str">
            <v>Vella Martha Therik</v>
          </cell>
          <cell r="S8" t="str">
            <v>Jl. Fajar Kencana Blok. F2 Rt 002/014 no.29 Rawa Buntu</v>
          </cell>
          <cell r="T8" t="str">
            <v>02175874537/0817863358(M)</v>
          </cell>
          <cell r="U8" t="str">
            <v>Karyawan Swasta</v>
          </cell>
          <cell r="V8" t="str">
            <v>Ibu Rumah Tangga</v>
          </cell>
        </row>
        <row r="9">
          <cell r="C9">
            <v>4</v>
          </cell>
          <cell r="D9" t="str">
            <v>014157004</v>
          </cell>
          <cell r="F9" t="str">
            <v>Andrean Santoso</v>
          </cell>
          <cell r="G9" t="str">
            <v>Bogor, 28 Mei 2002</v>
          </cell>
          <cell r="H9" t="str">
            <v>Laki-laki</v>
          </cell>
          <cell r="J9" t="str">
            <v>Anak Kandung</v>
          </cell>
          <cell r="K9" t="str">
            <v>1 dari 2</v>
          </cell>
          <cell r="L9" t="str">
            <v>Bidara No. 27 Rt.01/05 Cibinong, Gunung Sindur</v>
          </cell>
          <cell r="M9" t="str">
            <v>08129254500</v>
          </cell>
          <cell r="N9" t="str">
            <v>SDN Puspitek</v>
          </cell>
          <cell r="O9" t="str">
            <v>VII</v>
          </cell>
          <cell r="P9" t="str">
            <v>10 Juli 2014</v>
          </cell>
          <cell r="Q9" t="str">
            <v>Agus Santoso</v>
          </cell>
          <cell r="R9" t="str">
            <v>Sian Tiy</v>
          </cell>
          <cell r="S9" t="str">
            <v>Bidara No.27 rt 01/05 Cibinong, gunung Sindur</v>
          </cell>
          <cell r="T9" t="str">
            <v>08129254500(P)/081381319524 (M)</v>
          </cell>
          <cell r="U9" t="str">
            <v>Wiraswasta</v>
          </cell>
          <cell r="V9" t="str">
            <v>Ibu Rumah Tangga</v>
          </cell>
        </row>
        <row r="10">
          <cell r="C10">
            <v>5</v>
          </cell>
          <cell r="D10" t="str">
            <v>014157005</v>
          </cell>
          <cell r="F10" t="str">
            <v>Angela Agustine Theo</v>
          </cell>
          <cell r="G10" t="str">
            <v>Jakarta, 7 Agustus 2002</v>
          </cell>
          <cell r="H10" t="str">
            <v>Perempuan</v>
          </cell>
          <cell r="I10" t="str">
            <v>Kristen</v>
          </cell>
          <cell r="J10" t="str">
            <v>Anak Kandung</v>
          </cell>
          <cell r="K10" t="str">
            <v>1 dari 2</v>
          </cell>
          <cell r="L10" t="str">
            <v>Jl. Bali Blok U2 No 10 Sektr 14.5 BSD</v>
          </cell>
          <cell r="M10" t="str">
            <v>088809005957</v>
          </cell>
          <cell r="N10" t="str">
            <v>SD Hally Faithful Obedient</v>
          </cell>
          <cell r="O10" t="str">
            <v>VII</v>
          </cell>
          <cell r="P10" t="str">
            <v>10 Juli 2014</v>
          </cell>
          <cell r="Q10" t="str">
            <v>Edi Teh</v>
          </cell>
          <cell r="R10" t="str">
            <v>Maria Katarina</v>
          </cell>
          <cell r="S10" t="str">
            <v>Jl. Bali Blok U2 No 10 Sektor 14.5 BSD</v>
          </cell>
          <cell r="T10" t="str">
            <v>94013755(P)/02199568779/081388618988</v>
          </cell>
          <cell r="U10" t="str">
            <v>Wiraswasta</v>
          </cell>
          <cell r="V10" t="str">
            <v>Ibu Rumah Tangga</v>
          </cell>
        </row>
        <row r="11">
          <cell r="C11">
            <v>6</v>
          </cell>
          <cell r="D11" t="str">
            <v>014157006</v>
          </cell>
          <cell r="E11" t="str">
            <v>0027439524</v>
          </cell>
          <cell r="F11" t="str">
            <v>Anggit Wilyana</v>
          </cell>
          <cell r="G11" t="str">
            <v>Tangerang, 21 April 2002</v>
          </cell>
          <cell r="H11" t="str">
            <v>Laki-laki</v>
          </cell>
          <cell r="I11" t="str">
            <v>Islam</v>
          </cell>
          <cell r="J11" t="str">
            <v>Anak Kandung</v>
          </cell>
          <cell r="K11" t="str">
            <v>1 dari 2</v>
          </cell>
          <cell r="L11" t="str">
            <v>Villa Melati mas, Blok.16 No. 15 Rt. 035/008 Serpong Utara</v>
          </cell>
          <cell r="M11" t="str">
            <v>081316489092</v>
          </cell>
          <cell r="N11" t="str">
            <v>SDN Cihuni III</v>
          </cell>
          <cell r="O11" t="str">
            <v>VII</v>
          </cell>
          <cell r="P11" t="str">
            <v>10 Juli 2014</v>
          </cell>
          <cell r="Q11" t="str">
            <v>Mitro Sujarmo</v>
          </cell>
          <cell r="R11" t="str">
            <v>Mardianah</v>
          </cell>
          <cell r="S11" t="str">
            <v>Villa Melati Mas, Blok. 16 No.15 Rt.035/008 Serpong Utara</v>
          </cell>
          <cell r="T11" t="str">
            <v>081514276688(P)/081315408277(M)</v>
          </cell>
          <cell r="U11" t="str">
            <v>Wiraswasta</v>
          </cell>
          <cell r="V11" t="str">
            <v>Ibu Rumah Tangga</v>
          </cell>
        </row>
        <row r="12">
          <cell r="C12">
            <v>7</v>
          </cell>
          <cell r="D12" t="str">
            <v>014157007</v>
          </cell>
          <cell r="E12" t="str">
            <v>0021892515</v>
          </cell>
          <cell r="F12" t="str">
            <v>Audrey Margaretha Therik</v>
          </cell>
          <cell r="G12" t="str">
            <v>Jakarta, 9 Januari 2002</v>
          </cell>
          <cell r="H12" t="str">
            <v>Perempuan</v>
          </cell>
          <cell r="I12" t="str">
            <v>Kristen</v>
          </cell>
          <cell r="J12" t="str">
            <v>Anak Kandung</v>
          </cell>
          <cell r="K12" t="str">
            <v>4 dari 4</v>
          </cell>
          <cell r="L12" t="str">
            <v>Jl.Fajar Kencana Blok. F2 Rt.002/014 No. 29 rawa Buntu</v>
          </cell>
          <cell r="M12" t="str">
            <v>02175874537</v>
          </cell>
          <cell r="N12" t="str">
            <v>Stella Maris</v>
          </cell>
          <cell r="O12" t="str">
            <v>VII</v>
          </cell>
          <cell r="P12" t="str">
            <v>10 Juli 2014</v>
          </cell>
          <cell r="Q12" t="str">
            <v>Anderson E Therik</v>
          </cell>
          <cell r="R12" t="str">
            <v>Vella Martha Therik</v>
          </cell>
          <cell r="S12" t="str">
            <v>Jl. Fajar Kencana Blok. F2 Rt 002/014 No.29 Rawa Buntu</v>
          </cell>
          <cell r="T12" t="str">
            <v>02175874537/0817863358(M)</v>
          </cell>
          <cell r="U12" t="str">
            <v>Karyawan Swasta</v>
          </cell>
          <cell r="V12" t="str">
            <v>Ibu Rumah Tangga</v>
          </cell>
        </row>
        <row r="13">
          <cell r="C13">
            <v>8</v>
          </cell>
          <cell r="D13" t="str">
            <v>014157008</v>
          </cell>
          <cell r="F13" t="str">
            <v>Brilio Pranatta</v>
          </cell>
          <cell r="G13" t="str">
            <v>Tangerang, 8 Desember 2000</v>
          </cell>
          <cell r="H13" t="str">
            <v>Laki-laki</v>
          </cell>
          <cell r="I13" t="str">
            <v>Budha</v>
          </cell>
          <cell r="J13" t="str">
            <v>Anak Kandung</v>
          </cell>
          <cell r="K13" t="str">
            <v>3 dari 3</v>
          </cell>
          <cell r="L13" t="str">
            <v>Nusa Loka Blok. F1 XIV Rt.005/004 No.11 BSD</v>
          </cell>
          <cell r="N13" t="str">
            <v>SD Antonius</v>
          </cell>
          <cell r="O13" t="str">
            <v>VII</v>
          </cell>
          <cell r="P13" t="str">
            <v>10 Juli 2014</v>
          </cell>
          <cell r="Q13" t="str">
            <v>Buwono Pranatta</v>
          </cell>
          <cell r="R13" t="str">
            <v>Lianny</v>
          </cell>
          <cell r="S13" t="str">
            <v>Nusa Loka Blok.F2 Rt.002/004 No.11 BSD</v>
          </cell>
          <cell r="T13" t="str">
            <v>08158072145(P)/087877559600(M)/08161636139(M)</v>
          </cell>
          <cell r="U13" t="str">
            <v>Karyawan Swasta</v>
          </cell>
          <cell r="V13" t="str">
            <v>Karyawan Swasta</v>
          </cell>
        </row>
        <row r="14">
          <cell r="C14">
            <v>9</v>
          </cell>
          <cell r="D14" t="str">
            <v>014157009</v>
          </cell>
          <cell r="E14" t="str">
            <v>0022831473</v>
          </cell>
          <cell r="F14" t="str">
            <v>Bryan Martin</v>
          </cell>
          <cell r="G14" t="str">
            <v>Jakarta, 25 September 2002</v>
          </cell>
          <cell r="H14" t="str">
            <v>Laki-laki</v>
          </cell>
          <cell r="I14" t="str">
            <v>Budha</v>
          </cell>
          <cell r="J14" t="str">
            <v>Anak Kandung</v>
          </cell>
          <cell r="K14" t="str">
            <v>2 dari 3</v>
          </cell>
          <cell r="L14" t="str">
            <v>Jl Watubela 1 Blok RE No.15 Sektor 14.6 BSD</v>
          </cell>
          <cell r="M14" t="str">
            <v>089667163295</v>
          </cell>
          <cell r="N14" t="str">
            <v>Ehipassiko School</v>
          </cell>
          <cell r="O14" t="str">
            <v>VII</v>
          </cell>
          <cell r="P14" t="str">
            <v>10 Juli 2014</v>
          </cell>
          <cell r="Q14" t="str">
            <v>Erwin Sahendi</v>
          </cell>
          <cell r="R14" t="str">
            <v>Teinlina Tjiarakusuma</v>
          </cell>
          <cell r="S14" t="str">
            <v>Jl Watubela 1 Blok RE No.15 Sekor 14.6 BSD</v>
          </cell>
          <cell r="T14" t="str">
            <v>089693312121(P)/08568295885(M)/02171307789</v>
          </cell>
          <cell r="U14" t="str">
            <v>Karyawan Swasta</v>
          </cell>
          <cell r="V14" t="str">
            <v>Ibu Rumah Tangga</v>
          </cell>
        </row>
        <row r="15">
          <cell r="C15">
            <v>10</v>
          </cell>
          <cell r="D15" t="str">
            <v>014157010</v>
          </cell>
          <cell r="F15" t="str">
            <v>Carissa Metta Arviana Pangestu</v>
          </cell>
          <cell r="G15" t="str">
            <v>Jakarta, 19 September 2000</v>
          </cell>
          <cell r="H15" t="str">
            <v>Perempuan</v>
          </cell>
          <cell r="I15" t="str">
            <v>Budha</v>
          </cell>
          <cell r="J15" t="str">
            <v>Anak Kandung</v>
          </cell>
          <cell r="K15" t="str">
            <v>2 dari 3</v>
          </cell>
          <cell r="L15" t="str">
            <v>Perum Mahkota Mas Blok N1 No.12 Cikokol Tangerang</v>
          </cell>
          <cell r="M15" t="str">
            <v>081212842322</v>
          </cell>
          <cell r="N15" t="str">
            <v>Santo Videlis</v>
          </cell>
          <cell r="O15" t="str">
            <v>VII</v>
          </cell>
          <cell r="P15" t="str">
            <v>10 Juli 2014</v>
          </cell>
          <cell r="Q15" t="str">
            <v>Nurvian Tjiptanegara</v>
          </cell>
          <cell r="R15" t="str">
            <v>Yuliah wijaya</v>
          </cell>
          <cell r="S15" t="str">
            <v>Perum Mahkota Mas Blok N! No.12 Cikokol Tangerang</v>
          </cell>
          <cell r="T15" t="str">
            <v>02170744790/081212842322</v>
          </cell>
          <cell r="U15" t="str">
            <v>Wiraswasta</v>
          </cell>
          <cell r="V15" t="str">
            <v>Ibu Rumah Tangga</v>
          </cell>
        </row>
        <row r="16">
          <cell r="C16">
            <v>11</v>
          </cell>
          <cell r="D16" t="str">
            <v>014157011</v>
          </cell>
          <cell r="F16" t="str">
            <v>Chandra Purnama</v>
          </cell>
          <cell r="G16" t="str">
            <v>Jakarta, 7 November 2001</v>
          </cell>
          <cell r="H16" t="str">
            <v>Laki-laki</v>
          </cell>
          <cell r="I16" t="str">
            <v>Budha</v>
          </cell>
          <cell r="J16" t="str">
            <v>Anak Kandung</v>
          </cell>
          <cell r="K16" t="str">
            <v>2 dari 3</v>
          </cell>
          <cell r="L16" t="str">
            <v>The green, Cluster Vineyard, Jl. Tuscany Blok EB. 11 No.1 BSD</v>
          </cell>
          <cell r="M16" t="str">
            <v>082183352821</v>
          </cell>
          <cell r="N16" t="str">
            <v>Tirta Marta BPK Penabur</v>
          </cell>
          <cell r="O16" t="str">
            <v>VII</v>
          </cell>
          <cell r="P16" t="str">
            <v>10 Juli 2014</v>
          </cell>
          <cell r="Q16" t="str">
            <v>Toni Fong</v>
          </cell>
          <cell r="R16" t="str">
            <v>Fenny Santoso</v>
          </cell>
          <cell r="S16" t="str">
            <v>The Green, Cluster Vineyard, Jl.Tuscany Blok EB.11 No.1 BSD</v>
          </cell>
          <cell r="T16" t="str">
            <v>0818995239(M)/081908361042(P)/99124769/7505066(TK)</v>
          </cell>
          <cell r="U16" t="str">
            <v>Wiraswasta</v>
          </cell>
          <cell r="V16" t="str">
            <v>Ibu Rumah Tangga</v>
          </cell>
        </row>
        <row r="17">
          <cell r="C17">
            <v>12</v>
          </cell>
          <cell r="D17" t="str">
            <v>014157012</v>
          </cell>
          <cell r="F17" t="str">
            <v>Christian Harto Atmojo</v>
          </cell>
          <cell r="G17" t="str">
            <v>Tangerang, 4 Desember 2001</v>
          </cell>
          <cell r="H17" t="str">
            <v>Laki-laki</v>
          </cell>
          <cell r="I17" t="str">
            <v>Katholik</v>
          </cell>
          <cell r="J17" t="str">
            <v>Anak Kandung</v>
          </cell>
          <cell r="K17" t="str">
            <v>2 dari 3</v>
          </cell>
          <cell r="L17" t="str">
            <v>Nusa Loka Blok A4-32 Jl. Sulawesi II BSD</v>
          </cell>
          <cell r="M17" t="str">
            <v>087774054376</v>
          </cell>
          <cell r="N17" t="str">
            <v>Santa Ursula</v>
          </cell>
          <cell r="O17" t="str">
            <v>VII</v>
          </cell>
          <cell r="P17" t="str">
            <v>10 Juli 2014</v>
          </cell>
          <cell r="Q17" t="str">
            <v>Hermawan Harto Atmojo</v>
          </cell>
          <cell r="R17" t="str">
            <v>Theresia ery Fariani</v>
          </cell>
          <cell r="S17" t="str">
            <v>Nusa loka Blok A4-32 Jl. Sulawesi II BSD</v>
          </cell>
          <cell r="T17" t="str">
            <v>087774054376</v>
          </cell>
          <cell r="V17" t="str">
            <v>Karyawan Swasta</v>
          </cell>
        </row>
        <row r="18">
          <cell r="C18">
            <v>13</v>
          </cell>
          <cell r="D18" t="str">
            <v>014157013</v>
          </cell>
          <cell r="E18" t="str">
            <v>0024711019</v>
          </cell>
          <cell r="F18" t="str">
            <v>Fiona Mandrawa</v>
          </cell>
          <cell r="G18" t="str">
            <v>Rangkas Bitung, 7 Maret 2003</v>
          </cell>
          <cell r="H18" t="str">
            <v>Perempuan</v>
          </cell>
          <cell r="I18" t="str">
            <v>Budha</v>
          </cell>
          <cell r="J18" t="str">
            <v>Anak Kandung</v>
          </cell>
          <cell r="K18" t="str">
            <v>3 dari 3</v>
          </cell>
          <cell r="L18" t="str">
            <v>Delatinos Costa Rica E6/10 BSD</v>
          </cell>
          <cell r="M18" t="str">
            <v>0812849633</v>
          </cell>
          <cell r="N18" t="str">
            <v>Ehipassiko School</v>
          </cell>
          <cell r="O18" t="str">
            <v>VII</v>
          </cell>
          <cell r="P18" t="str">
            <v>10 Juli 2014</v>
          </cell>
          <cell r="Q18" t="str">
            <v>Budiman Mandrawa</v>
          </cell>
          <cell r="R18" t="str">
            <v>Nartjih</v>
          </cell>
          <cell r="S18" t="str">
            <v>Delatinos Costa Rica E6/10 BSD</v>
          </cell>
          <cell r="T18" t="str">
            <v>087809326520(M)/081284259633(P)</v>
          </cell>
          <cell r="U18" t="str">
            <v>Wiraswasta</v>
          </cell>
          <cell r="V18" t="str">
            <v>Ibu Rumah Tangga</v>
          </cell>
        </row>
        <row r="19">
          <cell r="C19">
            <v>14</v>
          </cell>
          <cell r="D19" t="str">
            <v>014157014</v>
          </cell>
          <cell r="E19" t="str">
            <v/>
          </cell>
          <cell r="F19" t="str">
            <v>Gishella Angeline Prasetya</v>
          </cell>
          <cell r="G19" t="str">
            <v>Tangerang, 11 Desember 2002</v>
          </cell>
          <cell r="H19" t="str">
            <v>Perempuan</v>
          </cell>
          <cell r="I19" t="str">
            <v>Katholik</v>
          </cell>
          <cell r="J19" t="str">
            <v>Anak Kandung</v>
          </cell>
          <cell r="K19" t="str">
            <v>1 dari 2</v>
          </cell>
          <cell r="L19" t="str">
            <v>Jl. Alamanda Blok V2/14 Sektor 1.2</v>
          </cell>
          <cell r="M19" t="str">
            <v>0215384117</v>
          </cell>
          <cell r="N19" t="str">
            <v>Ehipassiko School</v>
          </cell>
          <cell r="O19" t="str">
            <v>VII</v>
          </cell>
          <cell r="P19" t="str">
            <v>10 Juli 2014</v>
          </cell>
          <cell r="Q19" t="str">
            <v>Yohanes Prasetya</v>
          </cell>
          <cell r="R19" t="str">
            <v>Erwani</v>
          </cell>
          <cell r="S19" t="str">
            <v>Jl. Alamanda Blok V2/14 sektor 1.2 BSD</v>
          </cell>
          <cell r="T19" t="str">
            <v>087883399188(P)/087883399199(M)/0215384117/70591333</v>
          </cell>
          <cell r="U19" t="str">
            <v>Karyawan Swasta</v>
          </cell>
          <cell r="V19" t="str">
            <v>Ibu Rumah Tangga</v>
          </cell>
        </row>
        <row r="20">
          <cell r="C20">
            <v>15</v>
          </cell>
          <cell r="D20" t="str">
            <v>014157015</v>
          </cell>
          <cell r="F20" t="str">
            <v>Haris Hartadi</v>
          </cell>
          <cell r="G20" t="str">
            <v>Bogor, 17 Juni 2002</v>
          </cell>
          <cell r="H20" t="str">
            <v>Laki-laki</v>
          </cell>
          <cell r="J20" t="str">
            <v>Anak Kandung</v>
          </cell>
          <cell r="K20" t="str">
            <v>3 dari 3</v>
          </cell>
          <cell r="L20" t="str">
            <v>Cogreg, Rt 05/07 Parung, Bogor</v>
          </cell>
          <cell r="M20" t="str">
            <v>088809005975</v>
          </cell>
          <cell r="N20" t="str">
            <v>SDN Cogreg 3</v>
          </cell>
          <cell r="O20" t="str">
            <v>VII</v>
          </cell>
          <cell r="P20" t="str">
            <v>10 Juli 201</v>
          </cell>
          <cell r="Q20" t="str">
            <v>Arman Joeng</v>
          </cell>
          <cell r="R20" t="str">
            <v>Hanita</v>
          </cell>
          <cell r="S20" t="str">
            <v>Cogreg, Rt 05/07 Parung, Bogor</v>
          </cell>
          <cell r="T20" t="str">
            <v>081294217509</v>
          </cell>
          <cell r="U20" t="str">
            <v>Wiraswasta</v>
          </cell>
          <cell r="V20" t="str">
            <v>Ibu Rumah Tangga</v>
          </cell>
        </row>
        <row r="21">
          <cell r="C21">
            <v>16</v>
          </cell>
          <cell r="D21" t="str">
            <v>014157016</v>
          </cell>
          <cell r="F21" t="str">
            <v>Jayson Gautama Lee</v>
          </cell>
          <cell r="G21" t="str">
            <v>Tangerang, 3 Oktober 2002</v>
          </cell>
          <cell r="H21" t="str">
            <v>Laki-laki</v>
          </cell>
          <cell r="I21" t="str">
            <v>Budha</v>
          </cell>
          <cell r="J21" t="str">
            <v>Anak Kandung</v>
          </cell>
          <cell r="K21" t="str">
            <v>2 dari 2</v>
          </cell>
          <cell r="L21" t="str">
            <v>Rawa Buntu Selatan G1 1.1 No.16</v>
          </cell>
          <cell r="M21" t="str">
            <v>088809005965</v>
          </cell>
          <cell r="N21" t="str">
            <v>Ehipassiko School</v>
          </cell>
          <cell r="O21" t="str">
            <v>VII</v>
          </cell>
          <cell r="P21" t="str">
            <v>10 Juli 2014</v>
          </cell>
          <cell r="Q21" t="str">
            <v>Djajadi</v>
          </cell>
          <cell r="R21" t="str">
            <v>Hendayani</v>
          </cell>
          <cell r="S21" t="str">
            <v>Rawa Buntu Selatan G1 1.1 No 16 BSD</v>
          </cell>
          <cell r="T21" t="str">
            <v>08119001870(P)/08170888815(M)33942816</v>
          </cell>
          <cell r="U21" t="str">
            <v>Karyawan Swasta</v>
          </cell>
          <cell r="V21" t="str">
            <v>Karyawan Swasta</v>
          </cell>
        </row>
        <row r="22">
          <cell r="C22">
            <v>17</v>
          </cell>
          <cell r="D22" t="str">
            <v>014157017</v>
          </cell>
          <cell r="F22" t="str">
            <v>Jesslyn</v>
          </cell>
          <cell r="G22" t="str">
            <v>Tangerang, 9 Juni 2002</v>
          </cell>
          <cell r="H22" t="str">
            <v>Perempuan</v>
          </cell>
          <cell r="I22" t="str">
            <v>Budha</v>
          </cell>
          <cell r="J22" t="str">
            <v>Anak Kandung</v>
          </cell>
          <cell r="K22" t="str">
            <v>2 dari 2</v>
          </cell>
          <cell r="L22" t="str">
            <v>Jl.Merdeka Sarua Permai Blok A 45 No.15 Rt.001/005 Pamulang</v>
          </cell>
          <cell r="M22" t="str">
            <v>081287677758</v>
          </cell>
          <cell r="N22" t="str">
            <v>Ehipassiko School</v>
          </cell>
          <cell r="O22" t="str">
            <v>VII</v>
          </cell>
          <cell r="P22" t="str">
            <v>10 Juli 2014</v>
          </cell>
          <cell r="Q22" t="str">
            <v>Tju Gunta</v>
          </cell>
          <cell r="R22" t="str">
            <v>Tan Tjin Siang</v>
          </cell>
          <cell r="S22" t="str">
            <v>Jl. Merdeka Sarua Permai Blok A 45 No.15 Rt.001/005 Pamulang</v>
          </cell>
          <cell r="T22" t="str">
            <v>02174634909/0811164244(P)/08129261619(M)</v>
          </cell>
          <cell r="U22" t="str">
            <v>Karyawan Swasta</v>
          </cell>
          <cell r="V22" t="str">
            <v>Ibu Rumah Tangga</v>
          </cell>
        </row>
        <row r="23">
          <cell r="C23">
            <v>18</v>
          </cell>
          <cell r="D23" t="str">
            <v>014157018</v>
          </cell>
          <cell r="E23" t="str">
            <v>0025292168</v>
          </cell>
          <cell r="F23" t="str">
            <v>Kelly Nadya</v>
          </cell>
          <cell r="G23" t="str">
            <v>Tangerang, 12 Desember 2002</v>
          </cell>
          <cell r="H23" t="str">
            <v>Perempuan</v>
          </cell>
          <cell r="I23" t="str">
            <v>Budha</v>
          </cell>
          <cell r="J23" t="str">
            <v>Anak Kandung</v>
          </cell>
          <cell r="K23" t="str">
            <v>2 dari 2</v>
          </cell>
          <cell r="L23" t="str">
            <v>Jl. Maluku III No P9 Rt.007/006 Pd.Benda Pamulang Barat</v>
          </cell>
          <cell r="M23" t="str">
            <v>081311334852</v>
          </cell>
          <cell r="N23" t="str">
            <v>SD Taruna Mandiri</v>
          </cell>
          <cell r="O23" t="str">
            <v>VII</v>
          </cell>
          <cell r="P23" t="str">
            <v>10 Juli 2014</v>
          </cell>
          <cell r="Q23" t="str">
            <v>Bujang</v>
          </cell>
          <cell r="R23" t="str">
            <v>Budiani</v>
          </cell>
          <cell r="S23" t="str">
            <v>Jl. Maluku III No.P9 Rt 007/006 Pd. Benda Pamulang Barat</v>
          </cell>
          <cell r="T23" t="str">
            <v>02199178418(P)081389554135(M)</v>
          </cell>
          <cell r="U23" t="str">
            <v>Wiraswasta</v>
          </cell>
          <cell r="V23" t="str">
            <v>Ibu Rumah Tangga</v>
          </cell>
        </row>
        <row r="24">
          <cell r="C24">
            <v>19</v>
          </cell>
          <cell r="D24" t="str">
            <v>014157019</v>
          </cell>
          <cell r="F24" t="str">
            <v>Kent Lehmant</v>
          </cell>
          <cell r="G24" t="str">
            <v>Makasar, 17 Mei 2002</v>
          </cell>
          <cell r="H24" t="str">
            <v>Laki-laki</v>
          </cell>
          <cell r="I24" t="str">
            <v>Kristen</v>
          </cell>
          <cell r="J24" t="str">
            <v>Anak Kandung</v>
          </cell>
          <cell r="K24" t="str">
            <v>1 dari 1</v>
          </cell>
          <cell r="L24" t="str">
            <v>Jl. Dr.Deviana 4.8 No.50 Sekor 1.4 BSD</v>
          </cell>
          <cell r="M24" t="str">
            <v>02137779803</v>
          </cell>
          <cell r="N24" t="str">
            <v>Ehipassiko School</v>
          </cell>
          <cell r="O24" t="str">
            <v>VII</v>
          </cell>
          <cell r="P24" t="str">
            <v>10 Juli 2014</v>
          </cell>
          <cell r="Q24" t="str">
            <v>Roberto L</v>
          </cell>
          <cell r="R24" t="str">
            <v>Erly M</v>
          </cell>
          <cell r="S24" t="str">
            <v>Jl. Dr Deviana 4.8 No 50 Sektor 1.4 BSD</v>
          </cell>
          <cell r="T24" t="str">
            <v>37779803</v>
          </cell>
          <cell r="U24" t="str">
            <v>Wiraswasta</v>
          </cell>
          <cell r="V24" t="str">
            <v>Ibu Rumah Tangga</v>
          </cell>
        </row>
        <row r="25">
          <cell r="C25">
            <v>20</v>
          </cell>
          <cell r="D25" t="str">
            <v>014157020</v>
          </cell>
          <cell r="E25" t="str">
            <v>0014930694</v>
          </cell>
          <cell r="F25" t="str">
            <v>Laura Wijaya</v>
          </cell>
          <cell r="G25" t="str">
            <v>Jakarta, 19 Maret 2001</v>
          </cell>
          <cell r="H25" t="str">
            <v>Perempuan</v>
          </cell>
          <cell r="I25" t="str">
            <v>Kristen</v>
          </cell>
          <cell r="J25" t="str">
            <v>Anak Kandung</v>
          </cell>
          <cell r="K25" t="str">
            <v>3 dari 3</v>
          </cell>
          <cell r="L25" t="str">
            <v>Nusa Loka Sektor XIV.4 Blok L15 No.1 BSD</v>
          </cell>
          <cell r="M25" t="str">
            <v>087771888300</v>
          </cell>
          <cell r="N25" t="str">
            <v>Binus Internasional School</v>
          </cell>
          <cell r="O25" t="str">
            <v>VII</v>
          </cell>
          <cell r="P25" t="str">
            <v>10 Juli 2014</v>
          </cell>
          <cell r="Q25" t="str">
            <v>Setiadi Brawijaya</v>
          </cell>
          <cell r="R25" t="str">
            <v>Ina Setiawati</v>
          </cell>
          <cell r="S25" t="str">
            <v>Nusa Loka sektor XIV.4 Blok L15 No.1 BSD</v>
          </cell>
          <cell r="T25" t="str">
            <v>081388696000/0812109927727(M)</v>
          </cell>
          <cell r="U25" t="str">
            <v>Karyawan Swasta</v>
          </cell>
          <cell r="V25" t="str">
            <v>Ibu Rumah Tangga</v>
          </cell>
        </row>
        <row r="26">
          <cell r="C26">
            <v>21</v>
          </cell>
          <cell r="D26" t="str">
            <v>014157021</v>
          </cell>
          <cell r="E26" t="str">
            <v>0022831463</v>
          </cell>
          <cell r="F26" t="str">
            <v>Nikky Yuva Pannadhika</v>
          </cell>
          <cell r="G26" t="str">
            <v>Jakarta, 1 Mei 2002</v>
          </cell>
          <cell r="H26" t="str">
            <v>Laki-laki</v>
          </cell>
          <cell r="I26" t="str">
            <v>Budha</v>
          </cell>
          <cell r="J26" t="str">
            <v>Anak Kandung</v>
          </cell>
          <cell r="K26" t="str">
            <v>4 dari 4</v>
          </cell>
          <cell r="L26" t="str">
            <v>Pasar Lama Serpong Rt.014/005 No.55 Serpong</v>
          </cell>
          <cell r="M26" t="str">
            <v>087871225289</v>
          </cell>
          <cell r="N26" t="str">
            <v>Ehipassiko School</v>
          </cell>
          <cell r="O26" t="str">
            <v>VII</v>
          </cell>
          <cell r="P26" t="str">
            <v>10 Juli 2014</v>
          </cell>
          <cell r="Q26" t="str">
            <v>Suherman</v>
          </cell>
          <cell r="R26" t="str">
            <v>Cin Nio</v>
          </cell>
          <cell r="S26" t="str">
            <v>Pasar Lama Serpong Rt.014/005 No 55 Serpong</v>
          </cell>
          <cell r="T26" t="str">
            <v>0215388609/0818783288(P)/085692979238(M)</v>
          </cell>
          <cell r="U26" t="str">
            <v>Wiraswasta</v>
          </cell>
          <cell r="V26" t="str">
            <v>Ibu Rumah Tangga</v>
          </cell>
        </row>
        <row r="27">
          <cell r="C27">
            <v>22</v>
          </cell>
          <cell r="D27" t="str">
            <v>014157022</v>
          </cell>
          <cell r="E27" t="str">
            <v>0020476154</v>
          </cell>
          <cell r="F27" t="str">
            <v>Patrizzia Placidia Aurel Gunawan</v>
          </cell>
          <cell r="G27" t="str">
            <v>Tangerang, 2 November 2002</v>
          </cell>
          <cell r="H27" t="str">
            <v>Perempuan</v>
          </cell>
          <cell r="I27" t="str">
            <v>Budha</v>
          </cell>
          <cell r="J27" t="str">
            <v>Anak Kandung</v>
          </cell>
          <cell r="K27" t="str">
            <v>4 dari 4</v>
          </cell>
          <cell r="L27" t="str">
            <v>Jl. Raya Puspitek 32 Serpong, Tangerang</v>
          </cell>
          <cell r="M27" t="str">
            <v>088809005977</v>
          </cell>
          <cell r="N27" t="str">
            <v>SD St Theresia II</v>
          </cell>
          <cell r="O27" t="str">
            <v>VII</v>
          </cell>
          <cell r="P27" t="str">
            <v>10 Juli 2014</v>
          </cell>
          <cell r="Q27" t="str">
            <v>Rudy Gunawan</v>
          </cell>
          <cell r="R27" t="str">
            <v>Lim Agus Setiawati</v>
          </cell>
          <cell r="S27" t="str">
            <v>Jl Raya Puspitek 32 Serpong, Tangerang</v>
          </cell>
          <cell r="T27" t="str">
            <v>081297306031</v>
          </cell>
          <cell r="U27" t="str">
            <v>Wiraswasta</v>
          </cell>
          <cell r="V27" t="str">
            <v>Ibu Rumah Tangga</v>
          </cell>
        </row>
        <row r="28">
          <cell r="C28">
            <v>23</v>
          </cell>
          <cell r="D28" t="str">
            <v>014157023</v>
          </cell>
          <cell r="E28" t="str">
            <v/>
          </cell>
          <cell r="F28" t="str">
            <v>Rio Dikara</v>
          </cell>
          <cell r="G28" t="str">
            <v>Tangerang, 8 Juli 2001</v>
          </cell>
          <cell r="H28" t="str">
            <v>Laki-laki</v>
          </cell>
          <cell r="I28" t="str">
            <v>Islam</v>
          </cell>
          <cell r="J28" t="str">
            <v>Anak Kandung</v>
          </cell>
          <cell r="K28" t="str">
            <v>1 dari-</v>
          </cell>
          <cell r="L28" t="str">
            <v>Benda Barat 9 blok. C16 No.3 Pamulang</v>
          </cell>
          <cell r="M28" t="str">
            <v>0217406767</v>
          </cell>
          <cell r="N28" t="str">
            <v>Al Azhar Pamulang</v>
          </cell>
          <cell r="O28" t="str">
            <v>VII</v>
          </cell>
          <cell r="P28" t="str">
            <v>10 Juli 2014</v>
          </cell>
          <cell r="Q28" t="str">
            <v>Teffy Mayne A</v>
          </cell>
          <cell r="R28" t="str">
            <v>Deasy Amalia</v>
          </cell>
          <cell r="S28" t="str">
            <v>Benda Barat 9 Blok. C16 No 3 Pamulang</v>
          </cell>
          <cell r="T28" t="str">
            <v>0217406767/085810670708(P)/081294056196(M)</v>
          </cell>
        </row>
        <row r="29">
          <cell r="C29">
            <v>24</v>
          </cell>
          <cell r="D29" t="str">
            <v>014157024</v>
          </cell>
          <cell r="F29" t="str">
            <v>Samuel</v>
          </cell>
          <cell r="G29" t="str">
            <v>Jakarta, 4 September 2002</v>
          </cell>
          <cell r="H29" t="str">
            <v>Laki-laki</v>
          </cell>
          <cell r="I29" t="str">
            <v>Katholik</v>
          </cell>
          <cell r="J29" t="str">
            <v>Anak Kandung</v>
          </cell>
          <cell r="K29" t="str">
            <v>1 dari-</v>
          </cell>
          <cell r="L29" t="str">
            <v>kencana Loka, blok. k1 No.2 BSD</v>
          </cell>
          <cell r="M29" t="str">
            <v>081281381250</v>
          </cell>
          <cell r="N29" t="str">
            <v>Saint John School</v>
          </cell>
          <cell r="O29" t="str">
            <v>VII</v>
          </cell>
          <cell r="P29" t="str">
            <v>10 Juli 2014</v>
          </cell>
          <cell r="Q29" t="str">
            <v>Tjiong Khong  Hwa</v>
          </cell>
          <cell r="R29" t="str">
            <v>Tjoeng Meliana</v>
          </cell>
          <cell r="S29" t="str">
            <v>Kencana Loka, blok.K1 No.2 BSD</v>
          </cell>
          <cell r="T29" t="str">
            <v>02146246319</v>
          </cell>
          <cell r="U29" t="str">
            <v>Wiraswasta</v>
          </cell>
          <cell r="V29" t="str">
            <v>Karyawan Swasta</v>
          </cell>
        </row>
        <row r="30">
          <cell r="C30">
            <v>25</v>
          </cell>
          <cell r="D30" t="str">
            <v>014157025</v>
          </cell>
          <cell r="E30" t="str">
            <v>0022381468</v>
          </cell>
          <cell r="F30" t="str">
            <v>Valerie Chou</v>
          </cell>
          <cell r="G30" t="str">
            <v>Tangerang, 5 Juli 2002</v>
          </cell>
          <cell r="H30" t="str">
            <v>Perempuan</v>
          </cell>
          <cell r="I30" t="str">
            <v>Budha</v>
          </cell>
          <cell r="J30" t="str">
            <v>Anak Kandung</v>
          </cell>
          <cell r="K30" t="str">
            <v>2 dari 3</v>
          </cell>
          <cell r="L30" t="str">
            <v>Residence One Red Diamond No.23</v>
          </cell>
          <cell r="M30" t="str">
            <v>021295220011</v>
          </cell>
          <cell r="N30" t="str">
            <v>Ehipassiko School</v>
          </cell>
          <cell r="O30" t="str">
            <v>VII</v>
          </cell>
          <cell r="P30" t="str">
            <v>10 Juli 2014</v>
          </cell>
          <cell r="Q30" t="str">
            <v>Rusli</v>
          </cell>
          <cell r="R30" t="str">
            <v>Sri Mulyani</v>
          </cell>
          <cell r="S30" t="str">
            <v>Residence One Red Diamond No.23 BSD</v>
          </cell>
          <cell r="T30" t="str">
            <v>0816395991(P)/081510553483</v>
          </cell>
          <cell r="U30" t="str">
            <v>Karyawan Swasta</v>
          </cell>
          <cell r="V30" t="str">
            <v>Ibu Rumah Tangga</v>
          </cell>
        </row>
        <row r="31">
          <cell r="C31">
            <v>26</v>
          </cell>
        </row>
        <row r="32">
          <cell r="C32">
            <v>27</v>
          </cell>
        </row>
        <row r="33">
          <cell r="C33">
            <v>28</v>
          </cell>
        </row>
        <row r="34">
          <cell r="C34">
            <v>29</v>
          </cell>
        </row>
        <row r="35">
          <cell r="C35">
            <v>30</v>
          </cell>
        </row>
        <row r="36">
          <cell r="C36">
            <v>31</v>
          </cell>
        </row>
        <row r="37">
          <cell r="C37">
            <v>32</v>
          </cell>
        </row>
        <row r="38">
          <cell r="C38">
            <v>33</v>
          </cell>
        </row>
        <row r="39">
          <cell r="C39">
            <v>34</v>
          </cell>
        </row>
        <row r="40">
          <cell r="C40">
            <v>35</v>
          </cell>
        </row>
        <row r="41">
          <cell r="C41">
            <v>36</v>
          </cell>
        </row>
        <row r="42">
          <cell r="C42">
            <v>37</v>
          </cell>
        </row>
        <row r="43">
          <cell r="C43">
            <v>38</v>
          </cell>
        </row>
        <row r="44">
          <cell r="C44">
            <v>39</v>
          </cell>
        </row>
        <row r="45">
          <cell r="C45">
            <v>40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Grayscale">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4.xml"/><Relationship Id="rId2" Type="http://schemas.openxmlformats.org/officeDocument/2006/relationships/drawing" Target="../drawings/drawing21.xml"/><Relationship Id="rId1" Type="http://schemas.openxmlformats.org/officeDocument/2006/relationships/printerSettings" Target="../printerSettings/printerSettings15.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3.xml"/><Relationship Id="rId1" Type="http://schemas.openxmlformats.org/officeDocument/2006/relationships/printerSettings" Target="../printerSettings/printerSettings17.bin"/><Relationship Id="rId4" Type="http://schemas.openxmlformats.org/officeDocument/2006/relationships/ctrlProp" Target="../ctrlProps/ctrlProp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ctrlProp" Target="../ctrlProps/ctrlProp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5.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AA35"/>
  <sheetViews>
    <sheetView showGridLines="0" showRowColHeaders="0" zoomScale="70" zoomScaleNormal="70" workbookViewId="0"/>
  </sheetViews>
  <sheetFormatPr defaultRowHeight="15"/>
  <cols>
    <col min="1" max="1" width="9.140625" style="31"/>
    <col min="2" max="2" width="2.140625" style="31" customWidth="1"/>
    <col min="3" max="13" width="9.140625" style="31"/>
    <col min="14" max="14" width="2.140625" style="31" customWidth="1"/>
    <col min="15" max="15" width="7.140625" style="31" customWidth="1"/>
    <col min="16" max="16" width="2.28515625" style="31" customWidth="1"/>
    <col min="17" max="24" width="9.140625" style="31"/>
    <col min="25" max="25" width="2" style="31" customWidth="1"/>
    <col min="26" max="16384" width="9.140625" style="31"/>
  </cols>
  <sheetData>
    <row r="1" spans="1:27">
      <c r="A1" s="32"/>
      <c r="B1" s="32"/>
      <c r="C1" s="32"/>
      <c r="D1" s="32"/>
      <c r="E1" s="32"/>
      <c r="F1" s="32"/>
      <c r="G1" s="32"/>
      <c r="H1" s="32"/>
      <c r="I1" s="32"/>
      <c r="J1" s="32"/>
      <c r="K1" s="32"/>
      <c r="L1" s="32"/>
      <c r="M1" s="32"/>
      <c r="N1" s="32"/>
      <c r="O1" s="32"/>
      <c r="P1" s="32"/>
      <c r="Q1" s="32"/>
      <c r="R1" s="32"/>
      <c r="S1" s="32"/>
      <c r="T1" s="32"/>
      <c r="U1" s="32"/>
      <c r="V1" s="32"/>
      <c r="W1" s="32"/>
      <c r="X1" s="32"/>
      <c r="Y1" s="32"/>
      <c r="Z1" s="32"/>
      <c r="AA1" s="32"/>
    </row>
    <row r="2" spans="1:27" ht="9.9499999999999993" customHeight="1">
      <c r="A2" s="32"/>
      <c r="B2" s="33"/>
      <c r="C2" s="33"/>
      <c r="D2" s="33"/>
      <c r="E2" s="33"/>
      <c r="F2" s="33"/>
      <c r="G2" s="33"/>
      <c r="H2" s="33"/>
      <c r="I2" s="33"/>
      <c r="J2" s="33"/>
      <c r="K2" s="33"/>
      <c r="L2" s="33"/>
      <c r="M2" s="33"/>
      <c r="N2" s="33"/>
      <c r="O2" s="32"/>
      <c r="P2" s="34"/>
      <c r="Q2" s="34"/>
      <c r="R2" s="34"/>
      <c r="S2" s="34"/>
      <c r="T2" s="34"/>
      <c r="U2" s="34"/>
      <c r="V2" s="34"/>
      <c r="W2" s="34"/>
      <c r="X2" s="34"/>
      <c r="Y2" s="34"/>
      <c r="Z2" s="32"/>
      <c r="AA2" s="32"/>
    </row>
    <row r="3" spans="1:27" ht="15.75">
      <c r="A3" s="32"/>
      <c r="B3" s="33"/>
      <c r="C3" s="35"/>
      <c r="D3" s="36"/>
      <c r="E3" s="36"/>
      <c r="F3" s="36"/>
      <c r="G3" s="36"/>
      <c r="H3" s="36"/>
      <c r="I3" s="36"/>
      <c r="J3" s="36"/>
      <c r="K3" s="36"/>
      <c r="L3" s="36"/>
      <c r="M3" s="37"/>
      <c r="N3" s="33"/>
      <c r="O3" s="32"/>
      <c r="P3" s="34"/>
      <c r="Q3" s="38" t="s">
        <v>17</v>
      </c>
      <c r="R3" s="39"/>
      <c r="S3" s="39"/>
      <c r="T3" s="39"/>
      <c r="U3" s="39"/>
      <c r="V3" s="39"/>
      <c r="W3" s="39"/>
      <c r="X3" s="39"/>
      <c r="Y3" s="34"/>
      <c r="Z3" s="32"/>
      <c r="AA3" s="32"/>
    </row>
    <row r="4" spans="1:27">
      <c r="A4" s="32"/>
      <c r="B4" s="33"/>
      <c r="C4" s="492" t="str">
        <f>DataGuru!D7</f>
        <v>SMA NEGERI 4 PADANG</v>
      </c>
      <c r="D4" s="493"/>
      <c r="E4" s="493"/>
      <c r="F4" s="493"/>
      <c r="G4" s="493"/>
      <c r="H4" s="493"/>
      <c r="I4" s="493"/>
      <c r="J4" s="493"/>
      <c r="K4" s="493"/>
      <c r="L4" s="493"/>
      <c r="M4" s="494"/>
      <c r="N4" s="33"/>
      <c r="O4" s="32"/>
      <c r="P4" s="34"/>
      <c r="Q4" s="40" t="s">
        <v>18</v>
      </c>
      <c r="R4" s="39"/>
      <c r="S4" s="39"/>
      <c r="T4" s="39"/>
      <c r="U4" s="39"/>
      <c r="V4" s="39"/>
      <c r="W4" s="39"/>
      <c r="X4" s="39"/>
      <c r="Y4" s="34"/>
      <c r="Z4" s="32"/>
      <c r="AA4" s="32"/>
    </row>
    <row r="5" spans="1:27">
      <c r="A5" s="32"/>
      <c r="B5" s="33"/>
      <c r="C5" s="492"/>
      <c r="D5" s="493"/>
      <c r="E5" s="493"/>
      <c r="F5" s="493"/>
      <c r="G5" s="493"/>
      <c r="H5" s="493"/>
      <c r="I5" s="493"/>
      <c r="J5" s="493"/>
      <c r="K5" s="493"/>
      <c r="L5" s="493"/>
      <c r="M5" s="494"/>
      <c r="N5" s="33"/>
      <c r="O5" s="32"/>
      <c r="P5" s="34"/>
      <c r="Q5" s="40" t="s">
        <v>19</v>
      </c>
      <c r="R5" s="39"/>
      <c r="S5" s="39"/>
      <c r="T5" s="39"/>
      <c r="U5" s="39"/>
      <c r="V5" s="39"/>
      <c r="W5" s="39"/>
      <c r="X5" s="39"/>
      <c r="Y5" s="34"/>
      <c r="Z5" s="32"/>
      <c r="AA5" s="32"/>
    </row>
    <row r="6" spans="1:27">
      <c r="A6" s="32"/>
      <c r="B6" s="33"/>
      <c r="C6" s="41"/>
      <c r="D6" s="42"/>
      <c r="E6" s="42"/>
      <c r="F6" s="42"/>
      <c r="G6" s="42"/>
      <c r="H6" s="42"/>
      <c r="I6" s="42"/>
      <c r="J6" s="42"/>
      <c r="K6" s="42"/>
      <c r="L6" s="42"/>
      <c r="M6" s="43"/>
      <c r="N6" s="33"/>
      <c r="O6" s="32"/>
      <c r="P6" s="34"/>
      <c r="Q6" s="40" t="s">
        <v>60</v>
      </c>
      <c r="R6" s="39"/>
      <c r="S6" s="39"/>
      <c r="T6" s="39"/>
      <c r="U6" s="39"/>
      <c r="V6" s="39"/>
      <c r="W6" s="39"/>
      <c r="X6" s="39"/>
      <c r="Y6" s="34"/>
      <c r="Z6" s="32"/>
      <c r="AA6" s="32"/>
    </row>
    <row r="7" spans="1:27" ht="18.75">
      <c r="A7" s="32"/>
      <c r="B7" s="33"/>
      <c r="C7" s="41"/>
      <c r="D7" s="44"/>
      <c r="E7" s="45"/>
      <c r="F7" s="42"/>
      <c r="G7" s="42"/>
      <c r="H7" s="42"/>
      <c r="I7" s="42"/>
      <c r="J7" s="42"/>
      <c r="K7" s="42"/>
      <c r="L7" s="42"/>
      <c r="M7" s="43"/>
      <c r="N7" s="33"/>
      <c r="O7" s="32"/>
      <c r="P7" s="34"/>
      <c r="Q7" s="46" t="s">
        <v>32</v>
      </c>
      <c r="R7" s="39"/>
      <c r="S7" s="39"/>
      <c r="T7" s="39"/>
      <c r="U7" s="39"/>
      <c r="V7" s="39"/>
      <c r="W7" s="39"/>
      <c r="X7" s="39"/>
      <c r="Y7" s="34"/>
      <c r="Z7" s="32"/>
      <c r="AA7" s="32"/>
    </row>
    <row r="8" spans="1:27" ht="18.75">
      <c r="A8" s="32"/>
      <c r="B8" s="33"/>
      <c r="C8" s="41"/>
      <c r="D8" s="45"/>
      <c r="E8" s="45"/>
      <c r="F8" s="42"/>
      <c r="G8" s="42"/>
      <c r="H8" s="42"/>
      <c r="I8" s="42"/>
      <c r="J8" s="42"/>
      <c r="K8" s="42"/>
      <c r="L8" s="42"/>
      <c r="M8" s="43"/>
      <c r="N8" s="33"/>
      <c r="O8" s="32"/>
      <c r="P8" s="34"/>
      <c r="Q8" s="46" t="s">
        <v>33</v>
      </c>
      <c r="R8" s="39"/>
      <c r="S8" s="39"/>
      <c r="T8" s="39"/>
      <c r="U8" s="39"/>
      <c r="V8" s="39"/>
      <c r="W8" s="39"/>
      <c r="X8" s="39"/>
      <c r="Y8" s="34"/>
      <c r="Z8" s="32"/>
      <c r="AA8" s="32"/>
    </row>
    <row r="9" spans="1:27">
      <c r="A9" s="32"/>
      <c r="B9" s="33"/>
      <c r="C9" s="41"/>
      <c r="D9" s="42"/>
      <c r="E9" s="42"/>
      <c r="F9" s="42"/>
      <c r="G9" s="42"/>
      <c r="H9" s="42"/>
      <c r="I9" s="42"/>
      <c r="J9" s="42"/>
      <c r="K9" s="42"/>
      <c r="L9" s="42"/>
      <c r="M9" s="43"/>
      <c r="N9" s="33"/>
      <c r="O9" s="32"/>
      <c r="P9" s="34"/>
      <c r="Q9" s="46" t="s">
        <v>34</v>
      </c>
      <c r="R9" s="39"/>
      <c r="S9" s="39"/>
      <c r="T9" s="39"/>
      <c r="U9" s="39"/>
      <c r="V9" s="39"/>
      <c r="W9" s="39"/>
      <c r="X9" s="39"/>
      <c r="Y9" s="34"/>
      <c r="Z9" s="32"/>
      <c r="AA9" s="32"/>
    </row>
    <row r="10" spans="1:27" ht="21">
      <c r="A10" s="32"/>
      <c r="B10" s="33"/>
      <c r="C10" s="41"/>
      <c r="D10" s="47"/>
      <c r="E10" s="47"/>
      <c r="F10" s="42"/>
      <c r="G10" s="42"/>
      <c r="H10" s="42"/>
      <c r="I10" s="42"/>
      <c r="J10" s="42"/>
      <c r="K10" s="42"/>
      <c r="L10" s="42"/>
      <c r="M10" s="43"/>
      <c r="N10" s="33"/>
      <c r="O10" s="32"/>
      <c r="P10" s="34"/>
      <c r="Q10" s="48" t="s">
        <v>29</v>
      </c>
      <c r="R10" s="39"/>
      <c r="S10" s="39"/>
      <c r="T10" s="39"/>
      <c r="U10" s="39"/>
      <c r="V10" s="39"/>
      <c r="W10" s="39"/>
      <c r="X10" s="39"/>
      <c r="Y10" s="34"/>
      <c r="Z10" s="32"/>
      <c r="AA10" s="32"/>
    </row>
    <row r="11" spans="1:27" ht="21">
      <c r="A11" s="32"/>
      <c r="B11" s="33"/>
      <c r="C11" s="41"/>
      <c r="D11" s="47"/>
      <c r="E11" s="47"/>
      <c r="F11" s="42"/>
      <c r="G11" s="42"/>
      <c r="H11" s="42"/>
      <c r="I11" s="42"/>
      <c r="J11" s="42"/>
      <c r="K11" s="42"/>
      <c r="L11" s="42"/>
      <c r="M11" s="43"/>
      <c r="N11" s="33"/>
      <c r="O11" s="32"/>
      <c r="P11" s="34"/>
      <c r="Q11" s="48" t="s">
        <v>30</v>
      </c>
      <c r="R11" s="39"/>
      <c r="S11" s="39"/>
      <c r="T11" s="39"/>
      <c r="U11" s="39"/>
      <c r="V11" s="39"/>
      <c r="W11" s="39"/>
      <c r="X11" s="39"/>
      <c r="Y11" s="34"/>
      <c r="Z11" s="32"/>
      <c r="AA11" s="32"/>
    </row>
    <row r="12" spans="1:27" ht="18.75">
      <c r="A12" s="32"/>
      <c r="B12" s="33"/>
      <c r="C12" s="41"/>
      <c r="D12" s="44"/>
      <c r="E12" s="44"/>
      <c r="F12" s="42"/>
      <c r="G12" s="42"/>
      <c r="H12" s="42"/>
      <c r="I12" s="42"/>
      <c r="J12" s="42"/>
      <c r="K12" s="42"/>
      <c r="L12" s="42"/>
      <c r="M12" s="43"/>
      <c r="N12" s="33"/>
      <c r="O12" s="32"/>
      <c r="P12" s="34"/>
      <c r="Q12" s="48" t="s">
        <v>244</v>
      </c>
      <c r="R12" s="39"/>
      <c r="S12" s="39"/>
      <c r="T12" s="39"/>
      <c r="U12" s="39"/>
      <c r="V12" s="39"/>
      <c r="W12" s="39"/>
      <c r="X12" s="39"/>
      <c r="Y12" s="34"/>
      <c r="Z12" s="32"/>
      <c r="AA12" s="32"/>
    </row>
    <row r="13" spans="1:27" ht="18.75">
      <c r="A13" s="32"/>
      <c r="B13" s="33"/>
      <c r="C13" s="41"/>
      <c r="D13" s="44"/>
      <c r="E13" s="44"/>
      <c r="F13" s="42"/>
      <c r="G13" s="42"/>
      <c r="H13" s="42"/>
      <c r="I13" s="42"/>
      <c r="J13" s="42"/>
      <c r="K13" s="42"/>
      <c r="L13" s="42"/>
      <c r="M13" s="43"/>
      <c r="N13" s="33"/>
      <c r="O13" s="32"/>
      <c r="P13" s="34"/>
      <c r="Q13" s="48" t="s">
        <v>31</v>
      </c>
      <c r="R13" s="39"/>
      <c r="S13" s="39"/>
      <c r="T13" s="39"/>
      <c r="U13" s="39"/>
      <c r="V13" s="39"/>
      <c r="W13" s="39"/>
      <c r="X13" s="39"/>
      <c r="Y13" s="34"/>
      <c r="Z13" s="32"/>
      <c r="AA13" s="32"/>
    </row>
    <row r="14" spans="1:27" ht="21">
      <c r="A14" s="32"/>
      <c r="B14" s="33"/>
      <c r="C14" s="41"/>
      <c r="D14" s="47"/>
      <c r="E14" s="47"/>
      <c r="F14" s="42"/>
      <c r="G14" s="42"/>
      <c r="H14" s="42"/>
      <c r="I14" s="42"/>
      <c r="J14" s="42"/>
      <c r="K14" s="42"/>
      <c r="L14" s="42"/>
      <c r="M14" s="43"/>
      <c r="N14" s="33"/>
      <c r="O14" s="32"/>
      <c r="P14" s="34"/>
      <c r="Q14" s="39" t="s">
        <v>61</v>
      </c>
      <c r="R14" s="39"/>
      <c r="S14" s="39"/>
      <c r="T14" s="39"/>
      <c r="U14" s="39"/>
      <c r="V14" s="39"/>
      <c r="W14" s="39"/>
      <c r="X14" s="39"/>
      <c r="Y14" s="34"/>
      <c r="Z14" s="32"/>
      <c r="AA14" s="32"/>
    </row>
    <row r="15" spans="1:27">
      <c r="A15" s="32"/>
      <c r="B15" s="33"/>
      <c r="C15" s="41"/>
      <c r="D15" s="42"/>
      <c r="E15" s="42"/>
      <c r="F15" s="42"/>
      <c r="G15" s="42"/>
      <c r="H15" s="42"/>
      <c r="I15" s="42"/>
      <c r="J15" s="42"/>
      <c r="K15" s="42"/>
      <c r="L15" s="42"/>
      <c r="M15" s="43"/>
      <c r="N15" s="33"/>
      <c r="O15" s="32"/>
      <c r="P15" s="34"/>
      <c r="Q15" s="39" t="s">
        <v>308</v>
      </c>
      <c r="R15" s="39"/>
      <c r="S15" s="39"/>
      <c r="T15" s="39"/>
      <c r="U15" s="39"/>
      <c r="V15" s="39"/>
      <c r="W15" s="39"/>
      <c r="X15" s="39"/>
      <c r="Y15" s="34"/>
      <c r="Z15" s="32"/>
      <c r="AA15" s="32"/>
    </row>
    <row r="16" spans="1:27" ht="18.75">
      <c r="A16" s="32"/>
      <c r="B16" s="33"/>
      <c r="C16" s="41"/>
      <c r="D16" s="49"/>
      <c r="E16" s="49"/>
      <c r="F16" s="42"/>
      <c r="G16" s="42"/>
      <c r="H16" s="42"/>
      <c r="I16" s="42"/>
      <c r="J16" s="42"/>
      <c r="K16" s="42"/>
      <c r="L16" s="42"/>
      <c r="M16" s="43"/>
      <c r="N16" s="33"/>
      <c r="O16" s="32"/>
      <c r="P16" s="34"/>
      <c r="Q16" s="39"/>
      <c r="R16" s="39"/>
      <c r="S16" s="39"/>
      <c r="T16" s="39"/>
      <c r="U16" s="39"/>
      <c r="V16" s="39"/>
      <c r="W16" s="39"/>
      <c r="X16" s="39"/>
      <c r="Y16" s="34"/>
      <c r="Z16" s="32"/>
      <c r="AA16" s="32"/>
    </row>
    <row r="17" spans="1:27" ht="9" customHeight="1">
      <c r="A17" s="32"/>
      <c r="B17" s="33"/>
      <c r="C17" s="41"/>
      <c r="D17" s="49"/>
      <c r="E17" s="49"/>
      <c r="F17" s="42"/>
      <c r="G17" s="42"/>
      <c r="H17" s="42"/>
      <c r="I17" s="42"/>
      <c r="J17" s="42"/>
      <c r="K17" s="42"/>
      <c r="L17" s="42"/>
      <c r="M17" s="43"/>
      <c r="N17" s="33"/>
      <c r="O17" s="32"/>
      <c r="P17" s="34"/>
      <c r="Q17" s="34"/>
      <c r="R17" s="34"/>
      <c r="S17" s="34"/>
      <c r="T17" s="34"/>
      <c r="U17" s="34"/>
      <c r="V17" s="34"/>
      <c r="W17" s="34"/>
      <c r="X17" s="34"/>
      <c r="Y17" s="34"/>
      <c r="Z17" s="32"/>
      <c r="AA17" s="32"/>
    </row>
    <row r="18" spans="1:27" ht="18.75">
      <c r="A18" s="32"/>
      <c r="B18" s="33"/>
      <c r="C18" s="41"/>
      <c r="D18" s="49"/>
      <c r="E18" s="49"/>
      <c r="F18" s="42"/>
      <c r="G18" s="42"/>
      <c r="H18" s="42"/>
      <c r="I18" s="42"/>
      <c r="J18" s="42"/>
      <c r="K18" s="42"/>
      <c r="L18" s="42"/>
      <c r="M18" s="43"/>
      <c r="N18" s="33"/>
      <c r="O18" s="32"/>
      <c r="P18" s="23"/>
      <c r="Q18" s="23"/>
      <c r="R18" s="23"/>
      <c r="S18" s="23"/>
      <c r="T18" s="23"/>
      <c r="U18" s="23"/>
      <c r="V18" s="23"/>
      <c r="W18" s="23"/>
      <c r="X18" s="23"/>
      <c r="Y18" s="23"/>
      <c r="Z18" s="32"/>
      <c r="AA18" s="32"/>
    </row>
    <row r="19" spans="1:27" ht="18.75">
      <c r="A19" s="32"/>
      <c r="B19" s="33"/>
      <c r="C19" s="41"/>
      <c r="D19" s="49"/>
      <c r="E19" s="49"/>
      <c r="F19" s="42"/>
      <c r="G19" s="42"/>
      <c r="H19" s="42"/>
      <c r="I19" s="42"/>
      <c r="J19" s="42"/>
      <c r="K19" s="42"/>
      <c r="L19" s="42"/>
      <c r="M19" s="43"/>
      <c r="N19" s="33"/>
      <c r="O19" s="32"/>
      <c r="P19" s="32"/>
      <c r="Q19" s="23"/>
      <c r="R19" s="32"/>
      <c r="S19" s="32"/>
      <c r="T19" s="32" t="s">
        <v>273</v>
      </c>
      <c r="U19" s="32"/>
      <c r="V19" s="32"/>
      <c r="W19" s="32"/>
      <c r="X19" s="32"/>
      <c r="Y19" s="32"/>
      <c r="Z19" s="32"/>
      <c r="AA19" s="32"/>
    </row>
    <row r="20" spans="1:27">
      <c r="A20" s="32"/>
      <c r="B20" s="33"/>
      <c r="C20" s="41"/>
      <c r="D20" s="42"/>
      <c r="E20" s="42"/>
      <c r="F20" s="42"/>
      <c r="G20" s="42"/>
      <c r="H20" s="42"/>
      <c r="I20" s="42"/>
      <c r="J20" s="42"/>
      <c r="K20" s="42"/>
      <c r="L20" s="42"/>
      <c r="M20" s="43"/>
      <c r="N20" s="33"/>
      <c r="O20" s="32"/>
      <c r="P20" s="32"/>
      <c r="Q20" s="32"/>
      <c r="R20" s="32"/>
      <c r="S20" s="32"/>
      <c r="T20" s="32" t="s">
        <v>272</v>
      </c>
      <c r="U20" s="32"/>
      <c r="V20" s="32"/>
      <c r="W20" s="32"/>
      <c r="X20" s="32"/>
      <c r="Y20" s="32"/>
      <c r="Z20" s="32"/>
      <c r="AA20" s="32"/>
    </row>
    <row r="21" spans="1:27">
      <c r="A21" s="32"/>
      <c r="B21" s="33"/>
      <c r="C21" s="41"/>
      <c r="D21" s="42"/>
      <c r="E21" s="42"/>
      <c r="F21" s="42"/>
      <c r="G21" s="42"/>
      <c r="H21" s="42"/>
      <c r="I21" s="42"/>
      <c r="J21" s="42"/>
      <c r="K21" s="42"/>
      <c r="L21" s="42"/>
      <c r="M21" s="43"/>
      <c r="N21" s="33"/>
      <c r="O21" s="32"/>
      <c r="P21" s="32"/>
      <c r="Q21" s="32"/>
      <c r="R21" s="32"/>
      <c r="S21" s="32"/>
      <c r="T21" s="32"/>
      <c r="U21" s="32"/>
      <c r="V21" s="32"/>
      <c r="W21" s="32"/>
      <c r="X21" s="32"/>
      <c r="Y21" s="32"/>
      <c r="Z21" s="32"/>
      <c r="AA21" s="32"/>
    </row>
    <row r="22" spans="1:27">
      <c r="A22" s="32"/>
      <c r="B22" s="33"/>
      <c r="C22" s="41"/>
      <c r="D22" s="42"/>
      <c r="E22" s="42"/>
      <c r="F22" s="42"/>
      <c r="G22" s="42"/>
      <c r="H22" s="42"/>
      <c r="I22" s="42"/>
      <c r="J22" s="42"/>
      <c r="K22" s="42"/>
      <c r="L22" s="42"/>
      <c r="M22" s="43"/>
      <c r="N22" s="33"/>
      <c r="O22" s="32"/>
      <c r="P22" s="32"/>
      <c r="Q22" s="32"/>
      <c r="R22" s="32"/>
      <c r="S22" s="32"/>
      <c r="T22" s="32"/>
      <c r="U22" s="32"/>
      <c r="V22" s="32"/>
      <c r="W22" s="32"/>
      <c r="X22" s="32"/>
      <c r="Y22" s="32"/>
      <c r="Z22" s="32"/>
      <c r="AA22" s="32"/>
    </row>
    <row r="23" spans="1:27">
      <c r="A23" s="32"/>
      <c r="B23" s="33"/>
      <c r="C23" s="50"/>
      <c r="D23" s="50"/>
      <c r="E23" s="50"/>
      <c r="F23" s="50"/>
      <c r="G23" s="50"/>
      <c r="H23" s="50"/>
      <c r="I23" s="50"/>
      <c r="J23" s="50"/>
      <c r="K23" s="50"/>
      <c r="L23" s="50"/>
      <c r="M23" s="51"/>
      <c r="N23" s="33"/>
      <c r="O23" s="23"/>
      <c r="P23" s="23"/>
      <c r="Q23" s="32"/>
      <c r="R23" s="32"/>
      <c r="S23" s="32"/>
      <c r="T23" s="32"/>
      <c r="U23" s="32"/>
      <c r="V23" s="32"/>
      <c r="W23" s="32"/>
      <c r="X23" s="32"/>
      <c r="Y23" s="32"/>
      <c r="Z23" s="32"/>
      <c r="AA23" s="32"/>
    </row>
    <row r="24" spans="1:27">
      <c r="A24" s="32"/>
      <c r="B24" s="33"/>
      <c r="C24" s="52" t="s">
        <v>295</v>
      </c>
      <c r="D24" s="53"/>
      <c r="E24" s="53"/>
      <c r="F24" s="53"/>
      <c r="G24" s="53"/>
      <c r="H24" s="53"/>
      <c r="I24" s="53"/>
      <c r="J24" s="53"/>
      <c r="K24" s="53"/>
      <c r="L24" s="54"/>
      <c r="M24" s="55"/>
      <c r="N24" s="33"/>
      <c r="O24" s="23"/>
      <c r="P24" s="23"/>
      <c r="Q24" s="32"/>
      <c r="R24" s="32"/>
      <c r="S24" s="32"/>
      <c r="T24" s="32"/>
      <c r="U24" s="32"/>
      <c r="V24" s="32"/>
      <c r="W24" s="32"/>
      <c r="X24" s="32"/>
      <c r="Y24" s="32"/>
      <c r="Z24" s="32"/>
      <c r="AA24" s="32"/>
    </row>
    <row r="25" spans="1:27">
      <c r="A25" s="32"/>
      <c r="B25" s="33"/>
      <c r="C25" s="495" t="s">
        <v>193</v>
      </c>
      <c r="D25" s="496"/>
      <c r="E25" s="496"/>
      <c r="F25" s="496"/>
      <c r="G25" s="496"/>
      <c r="H25" s="496"/>
      <c r="I25" s="496"/>
      <c r="J25" s="496"/>
      <c r="K25" s="496"/>
      <c r="L25" s="496"/>
      <c r="M25" s="497"/>
      <c r="N25" s="33"/>
      <c r="O25" s="23"/>
      <c r="P25" s="23"/>
      <c r="Q25" s="32"/>
      <c r="R25" s="32"/>
      <c r="S25" s="32"/>
      <c r="T25" s="32"/>
      <c r="U25" s="32"/>
      <c r="V25" s="32"/>
      <c r="W25" s="32"/>
      <c r="X25" s="32"/>
      <c r="Y25" s="32"/>
      <c r="Z25" s="32"/>
      <c r="AA25" s="32"/>
    </row>
    <row r="26" spans="1:27" ht="10.5" customHeight="1">
      <c r="A26" s="32"/>
      <c r="B26" s="33"/>
      <c r="C26" s="295" t="s">
        <v>314</v>
      </c>
      <c r="D26" s="33"/>
      <c r="E26" s="33"/>
      <c r="F26" s="33"/>
      <c r="G26" s="33"/>
      <c r="H26" s="33"/>
      <c r="I26" s="33"/>
      <c r="J26" s="33"/>
      <c r="K26" s="33"/>
      <c r="L26" s="33"/>
      <c r="M26" s="33"/>
      <c r="N26" s="33"/>
      <c r="O26" s="32"/>
      <c r="P26" s="32"/>
      <c r="Q26" s="32"/>
      <c r="R26" s="32"/>
      <c r="S26" s="32"/>
      <c r="T26" s="32"/>
      <c r="U26" s="32"/>
      <c r="V26" s="32"/>
      <c r="W26" s="32"/>
      <c r="X26" s="32"/>
      <c r="Y26" s="32"/>
      <c r="Z26" s="32"/>
      <c r="AA26" s="32"/>
    </row>
    <row r="27" spans="1:27">
      <c r="A27" s="32"/>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row>
    <row r="28" spans="1:27">
      <c r="A28" s="32"/>
      <c r="B28" s="32"/>
      <c r="C28" s="32"/>
      <c r="D28" s="32"/>
      <c r="E28" s="32"/>
      <c r="F28" s="32"/>
      <c r="G28" s="32"/>
      <c r="H28" s="32"/>
      <c r="I28" s="32"/>
      <c r="J28" s="32"/>
      <c r="K28" s="32"/>
      <c r="L28" s="32"/>
      <c r="M28" s="32"/>
      <c r="N28" s="32"/>
      <c r="O28" s="32"/>
      <c r="P28" s="32"/>
      <c r="Q28" s="32"/>
      <c r="R28" s="32"/>
      <c r="S28" s="32"/>
      <c r="T28" s="32"/>
      <c r="U28" s="32"/>
      <c r="V28" s="32"/>
      <c r="W28" s="32"/>
      <c r="X28" s="32"/>
      <c r="Y28" s="32"/>
      <c r="Z28" s="32"/>
      <c r="AA28" s="32"/>
    </row>
    <row r="29" spans="1:27">
      <c r="A29" s="32"/>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row>
    <row r="30" spans="1:27">
      <c r="A30" s="32"/>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row>
    <row r="31" spans="1:27">
      <c r="A31" s="32"/>
      <c r="B31" s="32"/>
      <c r="C31" s="32"/>
      <c r="D31" s="32"/>
      <c r="E31" s="32"/>
      <c r="F31" s="32"/>
      <c r="G31" s="32"/>
      <c r="H31" s="32"/>
      <c r="I31" s="32"/>
      <c r="J31" s="32"/>
      <c r="K31" s="32"/>
      <c r="L31" s="32"/>
      <c r="M31" s="32"/>
      <c r="N31" s="32"/>
      <c r="O31" s="32"/>
      <c r="P31" s="32"/>
      <c r="Q31" s="32"/>
      <c r="R31" s="32"/>
      <c r="S31" s="32"/>
      <c r="T31" s="32"/>
      <c r="U31" s="32"/>
      <c r="V31" s="32"/>
      <c r="W31" s="32"/>
      <c r="X31" s="32"/>
      <c r="Y31" s="32"/>
      <c r="Z31" s="32"/>
      <c r="AA31" s="32"/>
    </row>
    <row r="32" spans="1:27">
      <c r="A32" s="32"/>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row>
    <row r="33" spans="1:27">
      <c r="A33" s="32"/>
      <c r="B33" s="32"/>
      <c r="C33" s="32"/>
      <c r="D33" s="32"/>
      <c r="E33" s="32"/>
      <c r="F33" s="32"/>
      <c r="G33" s="32"/>
      <c r="H33" s="32"/>
      <c r="I33" s="32"/>
      <c r="J33" s="32"/>
      <c r="K33" s="32"/>
      <c r="L33" s="32"/>
      <c r="M33" s="32"/>
      <c r="N33" s="32"/>
      <c r="O33" s="32"/>
      <c r="P33" s="32"/>
      <c r="Q33" s="32"/>
      <c r="R33" s="32"/>
      <c r="S33" s="32"/>
      <c r="T33" s="32"/>
      <c r="U33" s="32"/>
      <c r="V33" s="32"/>
      <c r="W33" s="32"/>
      <c r="X33" s="32"/>
      <c r="Y33" s="32"/>
      <c r="Z33" s="32"/>
      <c r="AA33" s="32"/>
    </row>
    <row r="34" spans="1:27">
      <c r="A34" s="32"/>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row>
    <row r="35" spans="1:27">
      <c r="A35" s="32"/>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row>
  </sheetData>
  <mergeCells count="2">
    <mergeCell ref="C4:M5"/>
    <mergeCell ref="C25:M25"/>
  </mergeCells>
  <hyperlinks>
    <hyperlink ref="Q7" location="DANUM!A1" display="      1.  Input Nilai masing - masing mata Pelajaran"/>
    <hyperlink ref="Q8" location="DANUM!A1" display="      2.  Input Kepribadian Siswa"/>
    <hyperlink ref="Q9" location="DANUM!A1" display="      3.  Input Absen"/>
  </hyperlink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B1:J39"/>
  <sheetViews>
    <sheetView showGridLines="0" topLeftCell="A6" zoomScale="70" zoomScaleNormal="70" workbookViewId="0">
      <selection activeCell="D21" sqref="D21"/>
    </sheetView>
  </sheetViews>
  <sheetFormatPr defaultRowHeight="15"/>
  <cols>
    <col min="1" max="1" width="9.140625" style="105"/>
    <col min="2" max="2" width="5.5703125" style="105" customWidth="1"/>
    <col min="3" max="3" width="30.7109375" style="105" customWidth="1"/>
    <col min="4" max="4" width="35.140625" style="105" customWidth="1"/>
    <col min="5" max="5" width="7.5703125" style="105" customWidth="1"/>
    <col min="6" max="7" width="9.140625" style="105"/>
    <col min="8" max="8" width="6.42578125" style="105" customWidth="1"/>
    <col min="9" max="9" width="30" style="105" bestFit="1" customWidth="1"/>
    <col min="10" max="10" width="13.85546875" style="105" customWidth="1"/>
    <col min="11" max="16384" width="9.140625" style="105"/>
  </cols>
  <sheetData>
    <row r="1" spans="2:5" ht="15.75" thickBot="1"/>
    <row r="2" spans="2:5" ht="15.75" customHeight="1" thickTop="1">
      <c r="B2" s="498" t="s">
        <v>313</v>
      </c>
      <c r="C2" s="499"/>
      <c r="D2" s="499"/>
      <c r="E2" s="500"/>
    </row>
    <row r="3" spans="2:5" ht="15" customHeight="1">
      <c r="B3" s="501"/>
      <c r="C3" s="502"/>
      <c r="D3" s="502"/>
      <c r="E3" s="503"/>
    </row>
    <row r="4" spans="2:5" ht="15" customHeight="1" thickBot="1">
      <c r="B4" s="504"/>
      <c r="C4" s="505"/>
      <c r="D4" s="505"/>
      <c r="E4" s="506"/>
    </row>
    <row r="5" spans="2:5" ht="16.5" thickTop="1" thickBot="1"/>
    <row r="6" spans="2:5" ht="15.75">
      <c r="B6" s="518" t="s">
        <v>0</v>
      </c>
      <c r="C6" s="519"/>
      <c r="D6" s="519"/>
      <c r="E6" s="520"/>
    </row>
    <row r="7" spans="2:5" ht="15.75">
      <c r="B7" s="106">
        <v>1</v>
      </c>
      <c r="C7" s="107" t="s">
        <v>1</v>
      </c>
      <c r="D7" s="521" t="s">
        <v>346</v>
      </c>
      <c r="E7" s="522"/>
    </row>
    <row r="8" spans="2:5" ht="15.75">
      <c r="B8" s="106">
        <v>2</v>
      </c>
      <c r="C8" s="107" t="s">
        <v>2</v>
      </c>
      <c r="D8" s="521" t="s">
        <v>623</v>
      </c>
      <c r="E8" s="522"/>
    </row>
    <row r="9" spans="2:5" ht="15.75">
      <c r="B9" s="106">
        <v>3</v>
      </c>
      <c r="C9" s="29" t="s">
        <v>3</v>
      </c>
      <c r="D9" s="523" t="s">
        <v>300</v>
      </c>
      <c r="E9" s="514"/>
    </row>
    <row r="10" spans="2:5" ht="15.75">
      <c r="B10" s="106">
        <v>4</v>
      </c>
      <c r="C10" s="29" t="s">
        <v>228</v>
      </c>
      <c r="D10" s="509" t="s">
        <v>372</v>
      </c>
      <c r="E10" s="510"/>
    </row>
    <row r="11" spans="2:5" ht="15.75">
      <c r="B11" s="106">
        <v>5</v>
      </c>
      <c r="C11" s="29" t="s">
        <v>229</v>
      </c>
      <c r="D11" s="515" t="s">
        <v>347</v>
      </c>
      <c r="E11" s="516"/>
    </row>
    <row r="12" spans="2:5" ht="15.75">
      <c r="B12" s="106">
        <v>6</v>
      </c>
      <c r="C12" s="29" t="s">
        <v>5</v>
      </c>
      <c r="D12" s="511" t="s">
        <v>703</v>
      </c>
      <c r="E12" s="512"/>
    </row>
    <row r="13" spans="2:5" ht="15.75">
      <c r="B13" s="106">
        <v>7</v>
      </c>
      <c r="C13" s="29" t="s">
        <v>6</v>
      </c>
      <c r="D13" s="513" t="s">
        <v>704</v>
      </c>
      <c r="E13" s="514"/>
    </row>
    <row r="14" spans="2:5" ht="15.75">
      <c r="B14" s="106">
        <v>8</v>
      </c>
      <c r="C14" s="29" t="s">
        <v>7</v>
      </c>
      <c r="D14" s="511" t="s">
        <v>705</v>
      </c>
      <c r="E14" s="512"/>
    </row>
    <row r="15" spans="2:5" ht="15.75">
      <c r="B15" s="106">
        <v>9</v>
      </c>
      <c r="C15" s="29" t="s">
        <v>6</v>
      </c>
      <c r="D15" s="517" t="s">
        <v>716</v>
      </c>
      <c r="E15" s="510"/>
    </row>
    <row r="16" spans="2:5" ht="16.5" thickBot="1">
      <c r="B16" s="106">
        <v>10</v>
      </c>
      <c r="C16" s="30" t="s">
        <v>188</v>
      </c>
      <c r="D16" s="507" t="s">
        <v>371</v>
      </c>
      <c r="E16" s="508"/>
    </row>
    <row r="17" spans="2:9">
      <c r="H17" s="108" t="s">
        <v>227</v>
      </c>
    </row>
    <row r="19" spans="2:9">
      <c r="B19" s="109" t="s">
        <v>8</v>
      </c>
      <c r="C19" s="109" t="s">
        <v>9</v>
      </c>
      <c r="D19" s="109" t="s">
        <v>10</v>
      </c>
      <c r="E19" s="110" t="s">
        <v>11</v>
      </c>
      <c r="H19" s="109" t="s">
        <v>8</v>
      </c>
      <c r="I19" s="109" t="s">
        <v>226</v>
      </c>
    </row>
    <row r="20" spans="2:9" ht="20.100000000000001" customHeight="1">
      <c r="B20" s="111">
        <v>1</v>
      </c>
      <c r="C20" s="211" t="s">
        <v>12</v>
      </c>
      <c r="D20" s="5" t="s">
        <v>373</v>
      </c>
      <c r="E20" s="1">
        <v>3.16</v>
      </c>
      <c r="H20" s="111">
        <v>1</v>
      </c>
      <c r="I20" s="112" t="s">
        <v>15</v>
      </c>
    </row>
    <row r="21" spans="2:9" ht="20.100000000000001" customHeight="1">
      <c r="B21" s="111">
        <v>2</v>
      </c>
      <c r="C21" s="212" t="s">
        <v>13</v>
      </c>
      <c r="D21" s="6" t="s">
        <v>706</v>
      </c>
      <c r="E21" s="1">
        <v>3.16</v>
      </c>
      <c r="H21" s="111">
        <v>2</v>
      </c>
      <c r="I21" s="113" t="s">
        <v>289</v>
      </c>
    </row>
    <row r="22" spans="2:9" ht="20.100000000000001" customHeight="1">
      <c r="B22" s="111">
        <v>3</v>
      </c>
      <c r="C22" s="212" t="s">
        <v>14</v>
      </c>
      <c r="D22" s="6" t="s">
        <v>707</v>
      </c>
      <c r="E22" s="1">
        <v>3.16</v>
      </c>
      <c r="H22" s="111">
        <v>3</v>
      </c>
      <c r="I22" s="113" t="s">
        <v>275</v>
      </c>
    </row>
    <row r="23" spans="2:9" ht="20.100000000000001" customHeight="1">
      <c r="B23" s="111">
        <v>4</v>
      </c>
      <c r="C23" s="213" t="s">
        <v>15</v>
      </c>
      <c r="D23" s="6" t="s">
        <v>374</v>
      </c>
      <c r="E23" s="1">
        <v>3.16</v>
      </c>
      <c r="H23" s="111">
        <v>4</v>
      </c>
      <c r="I23" s="113" t="s">
        <v>276</v>
      </c>
    </row>
    <row r="24" spans="2:9" ht="20.100000000000001" customHeight="1">
      <c r="B24" s="111">
        <v>5</v>
      </c>
      <c r="C24" s="213" t="s">
        <v>210</v>
      </c>
      <c r="D24" s="6" t="s">
        <v>375</v>
      </c>
      <c r="E24" s="1">
        <v>3.16</v>
      </c>
      <c r="H24" s="140"/>
      <c r="I24" s="141"/>
    </row>
    <row r="25" spans="2:9" ht="20.100000000000001" customHeight="1">
      <c r="B25" s="111">
        <v>6</v>
      </c>
      <c r="C25" s="214" t="s">
        <v>44</v>
      </c>
      <c r="D25" s="6" t="s">
        <v>376</v>
      </c>
      <c r="E25" s="1">
        <v>3.16</v>
      </c>
      <c r="H25" s="146" t="s">
        <v>256</v>
      </c>
      <c r="I25" s="142"/>
    </row>
    <row r="26" spans="2:9" ht="20.100000000000001" customHeight="1">
      <c r="B26" s="111">
        <v>7</v>
      </c>
      <c r="C26" s="214" t="s">
        <v>16</v>
      </c>
      <c r="D26" s="6" t="s">
        <v>708</v>
      </c>
      <c r="E26" s="1">
        <v>3.16</v>
      </c>
    </row>
    <row r="27" spans="2:9" ht="20.100000000000001" customHeight="1">
      <c r="B27" s="111">
        <v>8</v>
      </c>
      <c r="C27" s="214" t="s">
        <v>224</v>
      </c>
      <c r="D27" s="6" t="s">
        <v>709</v>
      </c>
      <c r="E27" s="1">
        <v>3.16</v>
      </c>
      <c r="H27" s="132" t="s">
        <v>48</v>
      </c>
      <c r="I27" s="133" t="s">
        <v>255</v>
      </c>
    </row>
    <row r="28" spans="2:9" ht="20.100000000000001" customHeight="1">
      <c r="B28" s="111">
        <v>9</v>
      </c>
      <c r="C28" s="214" t="s">
        <v>225</v>
      </c>
      <c r="D28" s="6" t="s">
        <v>710</v>
      </c>
      <c r="E28" s="1">
        <v>3.16</v>
      </c>
      <c r="H28" s="134">
        <v>1</v>
      </c>
      <c r="I28" s="113" t="s">
        <v>348</v>
      </c>
    </row>
    <row r="29" spans="2:9" ht="20.100000000000001" customHeight="1">
      <c r="B29" s="111"/>
      <c r="C29" s="215" t="s">
        <v>226</v>
      </c>
      <c r="D29" s="135"/>
      <c r="E29" s="136"/>
      <c r="H29" s="134">
        <v>2</v>
      </c>
      <c r="I29" s="436" t="s">
        <v>36</v>
      </c>
    </row>
    <row r="30" spans="2:9" ht="20.100000000000001" customHeight="1">
      <c r="B30" s="111">
        <v>1</v>
      </c>
      <c r="C30" s="217" t="str">
        <f>I20</f>
        <v>Matematika</v>
      </c>
      <c r="D30" s="6" t="s">
        <v>711</v>
      </c>
      <c r="E30" s="1">
        <v>3.16</v>
      </c>
      <c r="H30" s="134">
        <v>3</v>
      </c>
      <c r="I30" s="113" t="s">
        <v>36</v>
      </c>
    </row>
    <row r="31" spans="2:9" ht="20.100000000000001" customHeight="1">
      <c r="B31" s="111">
        <v>2</v>
      </c>
      <c r="C31" s="137" t="str">
        <f>I21</f>
        <v>Biologi</v>
      </c>
      <c r="D31" s="6" t="s">
        <v>712</v>
      </c>
      <c r="E31" s="1">
        <v>3.16</v>
      </c>
      <c r="H31" s="134">
        <v>4</v>
      </c>
      <c r="I31" s="113" t="s">
        <v>36</v>
      </c>
    </row>
    <row r="32" spans="2:9" ht="20.100000000000001" customHeight="1">
      <c r="B32" s="111">
        <v>3</v>
      </c>
      <c r="C32" s="137" t="str">
        <f>I22</f>
        <v>Fisika</v>
      </c>
      <c r="D32" s="6" t="s">
        <v>713</v>
      </c>
      <c r="E32" s="1">
        <v>3.16</v>
      </c>
      <c r="H32" s="145"/>
      <c r="I32" s="141"/>
    </row>
    <row r="33" spans="2:10" ht="20.100000000000001" customHeight="1" thickBot="1">
      <c r="B33" s="111">
        <v>4</v>
      </c>
      <c r="C33" s="137" t="str">
        <f>I23</f>
        <v>Kimia</v>
      </c>
      <c r="D33" s="6" t="s">
        <v>715</v>
      </c>
      <c r="E33" s="1">
        <v>3.16</v>
      </c>
      <c r="H33" s="105" t="s">
        <v>260</v>
      </c>
    </row>
    <row r="34" spans="2:10" ht="20.100000000000001" customHeight="1" thickTop="1">
      <c r="B34" s="150"/>
      <c r="C34" s="218" t="s">
        <v>257</v>
      </c>
      <c r="D34" s="138"/>
      <c r="E34" s="139"/>
      <c r="H34" s="219" t="s">
        <v>261</v>
      </c>
      <c r="I34" s="220"/>
      <c r="J34" s="221"/>
    </row>
    <row r="35" spans="2:10" ht="20.100000000000001" customHeight="1" thickBot="1">
      <c r="B35" s="111">
        <v>1</v>
      </c>
      <c r="C35" s="151" t="str">
        <f>I28</f>
        <v>Ekonomi</v>
      </c>
      <c r="D35" s="6" t="s">
        <v>714</v>
      </c>
      <c r="E35" s="1">
        <v>3.16</v>
      </c>
      <c r="H35" s="222" t="s">
        <v>259</v>
      </c>
      <c r="I35" s="223"/>
      <c r="J35" s="224"/>
    </row>
    <row r="36" spans="2:10" ht="20.100000000000001" customHeight="1" thickTop="1">
      <c r="B36" s="111">
        <v>2</v>
      </c>
      <c r="C36" s="151" t="str">
        <f>I29</f>
        <v>-</v>
      </c>
      <c r="D36" s="6"/>
      <c r="E36" s="1"/>
    </row>
    <row r="37" spans="2:10" ht="20.100000000000001" customHeight="1">
      <c r="B37" s="111">
        <v>3</v>
      </c>
      <c r="C37" s="151" t="str">
        <f>I30</f>
        <v>-</v>
      </c>
      <c r="D37" s="6"/>
      <c r="E37" s="1"/>
    </row>
    <row r="38" spans="2:10" ht="20.100000000000001" customHeight="1">
      <c r="B38" s="111">
        <v>4</v>
      </c>
      <c r="C38" s="151" t="str">
        <f>I31</f>
        <v>-</v>
      </c>
      <c r="D38" s="6"/>
      <c r="E38" s="1"/>
    </row>
    <row r="39" spans="2:10" ht="20.100000000000001" customHeight="1">
      <c r="B39" s="140"/>
      <c r="C39" s="216"/>
      <c r="D39" s="143"/>
      <c r="E39" s="144"/>
    </row>
  </sheetData>
  <sheetProtection password="CF7A" sheet="1"/>
  <mergeCells count="12">
    <mergeCell ref="B2:E4"/>
    <mergeCell ref="D16:E16"/>
    <mergeCell ref="D10:E10"/>
    <mergeCell ref="D12:E12"/>
    <mergeCell ref="D13:E13"/>
    <mergeCell ref="D14:E14"/>
    <mergeCell ref="D11:E11"/>
    <mergeCell ref="D15:E15"/>
    <mergeCell ref="B6:E6"/>
    <mergeCell ref="D7:E7"/>
    <mergeCell ref="D8:E8"/>
    <mergeCell ref="D9:E9"/>
  </mergeCells>
  <hyperlinks>
    <hyperlink ref="C20" location="AG!A1" display="Pendidikan Agama"/>
    <hyperlink ref="C21" location="PPKN!A1" display="PPKN"/>
    <hyperlink ref="C22" location="B.ind!A1" display="B.Indonesia"/>
    <hyperlink ref="C23" location="Mat!A1" display="Matematika"/>
    <hyperlink ref="C24" location="Sej!A1" display="Sejarah Indonesia"/>
    <hyperlink ref="C25" location="B.Ing!A1" display="Bahasa Inggris"/>
    <hyperlink ref="C26" location="Seni!A1" display="Seni Budaya"/>
    <hyperlink ref="C27" location="Jas!A1" display="Pend Jas Olah Raga dan Kes"/>
    <hyperlink ref="C28" location="Pra!A1" display="Prakarya Dan Kewira Usahaan"/>
    <hyperlink ref="C31" location="min2!A1" display="min2!A1"/>
    <hyperlink ref="C32" location="min3!A1" display="min3!A1"/>
    <hyperlink ref="C33" location="min4!A1" display="min4!A1"/>
    <hyperlink ref="C30" location="min1!A1" display="min1!A1"/>
    <hyperlink ref="C35" location="Lin1!A1" display="Lin1!A1"/>
    <hyperlink ref="C36" location="Lin2!A1" display="Lin2!A1"/>
    <hyperlink ref="C37" location="Lin3!A1" display="Lin3!A1"/>
    <hyperlink ref="C38" location="Lin4!A1" display="Lin4!A1"/>
  </hyperlinks>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V47"/>
  <sheetViews>
    <sheetView showGridLines="0" zoomScale="90" zoomScaleNormal="90" workbookViewId="0">
      <selection activeCell="B8" sqref="B8:C39"/>
    </sheetView>
  </sheetViews>
  <sheetFormatPr defaultRowHeight="15"/>
  <cols>
    <col min="1" max="1" width="6.28515625" customWidth="1"/>
    <col min="2" max="2" width="13" customWidth="1"/>
    <col min="3" max="3" width="22.140625" customWidth="1"/>
    <col min="4" max="4" width="9.5703125" customWidth="1"/>
    <col min="5" max="5" width="15.28515625" customWidth="1"/>
    <col min="6" max="6" width="18.85546875" customWidth="1"/>
    <col min="8" max="8" width="16.7109375" customWidth="1"/>
    <col min="9" max="9" width="8.7109375" customWidth="1"/>
    <col min="10" max="10" width="25.7109375" customWidth="1"/>
    <col min="11" max="11" width="22" customWidth="1"/>
    <col min="12" max="12" width="8.5703125" customWidth="1"/>
    <col min="13" max="13" width="12.7109375" customWidth="1"/>
    <col min="14" max="14" width="20.7109375" bestFit="1" customWidth="1"/>
    <col min="15" max="15" width="16.7109375" bestFit="1" customWidth="1"/>
    <col min="16" max="16" width="39.28515625" customWidth="1"/>
    <col min="17" max="17" width="18.28515625" customWidth="1"/>
    <col min="18" max="18" width="13" customWidth="1"/>
    <col min="19" max="19" width="18.42578125" customWidth="1"/>
    <col min="20" max="20" width="13.28515625" customWidth="1"/>
    <col min="21" max="21" width="11.5703125" customWidth="1"/>
    <col min="22" max="22" width="13" customWidth="1"/>
  </cols>
  <sheetData>
    <row r="1" spans="1:22" ht="16.5">
      <c r="A1" s="528" t="s">
        <v>192</v>
      </c>
      <c r="B1" s="528"/>
      <c r="C1" s="528"/>
      <c r="D1" s="528"/>
      <c r="E1" s="528"/>
      <c r="F1" s="528"/>
      <c r="G1" s="528"/>
      <c r="H1" s="528"/>
      <c r="I1" s="528"/>
      <c r="J1" s="528"/>
      <c r="K1" s="528"/>
      <c r="L1" s="528"/>
      <c r="M1" s="528"/>
      <c r="N1" s="528"/>
      <c r="O1" s="528"/>
      <c r="P1" s="528"/>
      <c r="Q1" s="528"/>
      <c r="R1" s="528"/>
    </row>
    <row r="2" spans="1:22" ht="16.5">
      <c r="A2" s="18"/>
      <c r="B2" s="18"/>
      <c r="C2" s="18"/>
      <c r="D2" s="18"/>
      <c r="E2" s="18"/>
      <c r="F2" s="18"/>
      <c r="G2" s="18"/>
      <c r="H2" s="259"/>
      <c r="I2" s="18"/>
      <c r="J2" s="259" t="s">
        <v>191</v>
      </c>
      <c r="K2" s="18" t="str">
        <f>DataGuru!D9</f>
        <v>2014/2015</v>
      </c>
      <c r="L2" s="18"/>
      <c r="M2" s="18"/>
      <c r="N2" s="18"/>
      <c r="O2" s="18"/>
      <c r="P2" s="18"/>
      <c r="Q2" s="18"/>
      <c r="R2" s="18"/>
    </row>
    <row r="3" spans="1:22" ht="16.5">
      <c r="A3" s="18"/>
      <c r="B3" s="18"/>
      <c r="C3" s="18"/>
      <c r="D3" s="18"/>
      <c r="E3" s="18"/>
      <c r="F3" s="18"/>
      <c r="G3" s="18"/>
      <c r="H3" s="18"/>
      <c r="I3" s="18"/>
      <c r="J3" s="19"/>
      <c r="K3" s="18"/>
      <c r="L3" s="18"/>
      <c r="M3" s="18"/>
      <c r="N3" s="18"/>
      <c r="O3" s="18"/>
      <c r="P3" s="18"/>
      <c r="Q3" s="18"/>
      <c r="R3" s="18"/>
    </row>
    <row r="4" spans="1:22" ht="16.5">
      <c r="A4" s="529" t="s">
        <v>62</v>
      </c>
      <c r="B4" s="529"/>
      <c r="C4" s="17" t="str">
        <f>DataGuru!D10</f>
        <v>XI MIA 4</v>
      </c>
      <c r="D4" s="8"/>
      <c r="E4" s="7"/>
      <c r="F4" s="7"/>
      <c r="G4" s="7"/>
      <c r="H4" s="7"/>
      <c r="I4" s="7"/>
      <c r="J4" s="7"/>
      <c r="K4" s="7"/>
      <c r="L4" s="7"/>
      <c r="M4" s="7"/>
      <c r="N4" s="7"/>
      <c r="O4" s="7"/>
      <c r="P4" s="7"/>
      <c r="Q4" s="7"/>
      <c r="R4" s="9"/>
    </row>
    <row r="5" spans="1:22" ht="16.5">
      <c r="A5" s="9"/>
      <c r="B5" s="7"/>
      <c r="C5" s="8"/>
      <c r="D5" s="8"/>
      <c r="E5" s="7"/>
      <c r="F5" s="7"/>
      <c r="G5" s="7"/>
      <c r="H5" s="7"/>
      <c r="I5" s="7"/>
      <c r="J5" s="7"/>
      <c r="K5" s="7"/>
      <c r="L5" s="7"/>
      <c r="M5" s="7"/>
      <c r="N5" s="7"/>
      <c r="O5" s="7"/>
      <c r="P5" s="7"/>
      <c r="Q5" s="7"/>
      <c r="R5" s="9"/>
    </row>
    <row r="6" spans="1:22" ht="17.25" thickBot="1">
      <c r="A6" s="530" t="s">
        <v>48</v>
      </c>
      <c r="B6" s="530" t="s">
        <v>369</v>
      </c>
      <c r="C6" s="530" t="s">
        <v>37</v>
      </c>
      <c r="D6" s="530" t="s">
        <v>64</v>
      </c>
      <c r="E6" s="531" t="s">
        <v>285</v>
      </c>
      <c r="F6" s="531"/>
      <c r="G6" s="530" t="s">
        <v>167</v>
      </c>
      <c r="H6" s="532" t="s">
        <v>284</v>
      </c>
      <c r="I6" s="532" t="s">
        <v>169</v>
      </c>
      <c r="J6" s="530" t="s">
        <v>279</v>
      </c>
      <c r="K6" s="532" t="s">
        <v>283</v>
      </c>
      <c r="L6" s="532" t="s">
        <v>282</v>
      </c>
      <c r="M6" s="532" t="s">
        <v>176</v>
      </c>
      <c r="N6" s="526" t="s">
        <v>286</v>
      </c>
      <c r="O6" s="526"/>
      <c r="P6" s="526"/>
      <c r="Q6" s="526"/>
      <c r="R6" s="526"/>
      <c r="S6" s="527" t="s">
        <v>278</v>
      </c>
      <c r="T6" s="527"/>
      <c r="U6" s="527"/>
      <c r="V6" s="527"/>
    </row>
    <row r="7" spans="1:22" ht="32.25" customHeight="1" thickBot="1">
      <c r="A7" s="530"/>
      <c r="B7" s="530"/>
      <c r="C7" s="530"/>
      <c r="D7" s="530"/>
      <c r="E7" s="531"/>
      <c r="F7" s="531"/>
      <c r="G7" s="530"/>
      <c r="H7" s="532"/>
      <c r="I7" s="532"/>
      <c r="J7" s="530"/>
      <c r="K7" s="532"/>
      <c r="L7" s="532"/>
      <c r="M7" s="532"/>
      <c r="N7" s="245" t="s">
        <v>179</v>
      </c>
      <c r="O7" s="245" t="s">
        <v>181</v>
      </c>
      <c r="P7" s="245" t="s">
        <v>279</v>
      </c>
      <c r="Q7" s="246" t="s">
        <v>280</v>
      </c>
      <c r="R7" s="246" t="s">
        <v>281</v>
      </c>
      <c r="S7" s="245" t="s">
        <v>184</v>
      </c>
      <c r="T7" s="245" t="s">
        <v>185</v>
      </c>
      <c r="U7" s="246" t="s">
        <v>277</v>
      </c>
      <c r="V7" s="246" t="s">
        <v>186</v>
      </c>
    </row>
    <row r="8" spans="1:22" ht="26.25" thickBot="1">
      <c r="A8" s="247">
        <v>1</v>
      </c>
      <c r="B8" s="470" t="s">
        <v>627</v>
      </c>
      <c r="C8" s="471" t="s">
        <v>628</v>
      </c>
      <c r="D8" s="315" t="s">
        <v>540</v>
      </c>
      <c r="E8" s="411" t="s">
        <v>399</v>
      </c>
      <c r="F8" s="406">
        <v>35942</v>
      </c>
      <c r="G8" s="413" t="s">
        <v>397</v>
      </c>
      <c r="H8" s="248" t="s">
        <v>398</v>
      </c>
      <c r="I8" s="418">
        <v>1</v>
      </c>
      <c r="J8" s="405" t="s">
        <v>400</v>
      </c>
      <c r="K8" s="416" t="s">
        <v>432</v>
      </c>
      <c r="L8" s="413" t="s">
        <v>446</v>
      </c>
      <c r="M8" s="434" t="s">
        <v>606</v>
      </c>
      <c r="N8" s="413" t="s">
        <v>451</v>
      </c>
      <c r="O8" s="416" t="s">
        <v>483</v>
      </c>
      <c r="P8" s="405" t="s">
        <v>400</v>
      </c>
      <c r="Q8" s="413" t="s">
        <v>516</v>
      </c>
      <c r="R8" s="416" t="s">
        <v>534</v>
      </c>
      <c r="S8" s="316" t="s">
        <v>36</v>
      </c>
      <c r="T8" s="316" t="s">
        <v>36</v>
      </c>
      <c r="U8" s="316"/>
      <c r="V8" s="316" t="s">
        <v>36</v>
      </c>
    </row>
    <row r="9" spans="1:22" ht="26.25" thickBot="1">
      <c r="A9" s="249">
        <v>2</v>
      </c>
      <c r="B9" s="472" t="s">
        <v>629</v>
      </c>
      <c r="C9" s="473" t="s">
        <v>630</v>
      </c>
      <c r="D9" s="315" t="s">
        <v>540</v>
      </c>
      <c r="E9" s="409" t="s">
        <v>392</v>
      </c>
      <c r="F9" s="406" t="s">
        <v>386</v>
      </c>
      <c r="G9" s="413" t="s">
        <v>397</v>
      </c>
      <c r="H9" s="248" t="s">
        <v>398</v>
      </c>
      <c r="I9" s="417">
        <v>1</v>
      </c>
      <c r="J9" s="404" t="s">
        <v>401</v>
      </c>
      <c r="K9" s="416" t="s">
        <v>433</v>
      </c>
      <c r="L9" s="413" t="s">
        <v>446</v>
      </c>
      <c r="M9" s="434" t="s">
        <v>606</v>
      </c>
      <c r="N9" s="413" t="s">
        <v>452</v>
      </c>
      <c r="O9" s="416" t="s">
        <v>484</v>
      </c>
      <c r="P9" s="404" t="s">
        <v>401</v>
      </c>
      <c r="Q9" s="413" t="s">
        <v>517</v>
      </c>
      <c r="R9" s="416" t="s">
        <v>534</v>
      </c>
      <c r="S9" s="316" t="s">
        <v>36</v>
      </c>
      <c r="T9" s="316" t="s">
        <v>36</v>
      </c>
      <c r="U9" s="316" t="s">
        <v>36</v>
      </c>
      <c r="V9" s="316" t="s">
        <v>36</v>
      </c>
    </row>
    <row r="10" spans="1:22" ht="17.25" thickBot="1">
      <c r="A10" s="249">
        <v>3</v>
      </c>
      <c r="B10" s="472" t="s">
        <v>631</v>
      </c>
      <c r="C10" s="474" t="s">
        <v>632</v>
      </c>
      <c r="D10" s="315" t="s">
        <v>541</v>
      </c>
      <c r="E10" s="409" t="s">
        <v>392</v>
      </c>
      <c r="F10" s="406" t="s">
        <v>387</v>
      </c>
      <c r="G10" s="413" t="s">
        <v>397</v>
      </c>
      <c r="H10" s="248" t="s">
        <v>398</v>
      </c>
      <c r="I10" s="417">
        <v>2</v>
      </c>
      <c r="J10" s="404" t="s">
        <v>402</v>
      </c>
      <c r="K10" s="416" t="s">
        <v>434</v>
      </c>
      <c r="L10" s="413" t="s">
        <v>446</v>
      </c>
      <c r="M10" s="434" t="s">
        <v>606</v>
      </c>
      <c r="N10" s="413" t="s">
        <v>453</v>
      </c>
      <c r="O10" s="416" t="s">
        <v>485</v>
      </c>
      <c r="P10" s="404" t="s">
        <v>402</v>
      </c>
      <c r="Q10" s="413" t="s">
        <v>518</v>
      </c>
      <c r="R10" s="416" t="s">
        <v>534</v>
      </c>
      <c r="S10" s="316" t="s">
        <v>36</v>
      </c>
      <c r="T10" s="316" t="s">
        <v>36</v>
      </c>
      <c r="U10" s="316" t="s">
        <v>36</v>
      </c>
      <c r="V10" s="316" t="s">
        <v>36</v>
      </c>
    </row>
    <row r="11" spans="1:22" ht="17.25" thickBot="1">
      <c r="A11" s="249">
        <v>4</v>
      </c>
      <c r="B11" s="472" t="s">
        <v>633</v>
      </c>
      <c r="C11" s="473" t="s">
        <v>634</v>
      </c>
      <c r="D11" s="315" t="s">
        <v>540</v>
      </c>
      <c r="E11" s="411" t="s">
        <v>392</v>
      </c>
      <c r="F11" s="406">
        <v>35978</v>
      </c>
      <c r="G11" s="413" t="s">
        <v>397</v>
      </c>
      <c r="H11" s="248" t="s">
        <v>398</v>
      </c>
      <c r="I11" s="417">
        <v>3</v>
      </c>
      <c r="J11" s="404" t="s">
        <v>403</v>
      </c>
      <c r="K11" s="416" t="s">
        <v>435</v>
      </c>
      <c r="L11" s="413" t="s">
        <v>446</v>
      </c>
      <c r="M11" s="434" t="s">
        <v>606</v>
      </c>
      <c r="N11" s="413" t="s">
        <v>454</v>
      </c>
      <c r="O11" s="416" t="s">
        <v>486</v>
      </c>
      <c r="P11" s="404" t="s">
        <v>403</v>
      </c>
      <c r="Q11" s="413" t="s">
        <v>519</v>
      </c>
      <c r="R11" s="416" t="s">
        <v>535</v>
      </c>
      <c r="S11" s="316" t="s">
        <v>36</v>
      </c>
      <c r="T11" s="316" t="s">
        <v>36</v>
      </c>
      <c r="U11" s="316" t="s">
        <v>36</v>
      </c>
      <c r="V11" s="316" t="s">
        <v>36</v>
      </c>
    </row>
    <row r="12" spans="1:22" ht="17.25" thickBot="1">
      <c r="A12" s="249">
        <v>5</v>
      </c>
      <c r="B12" s="472" t="s">
        <v>635</v>
      </c>
      <c r="C12" s="475" t="s">
        <v>636</v>
      </c>
      <c r="D12" s="315" t="s">
        <v>541</v>
      </c>
      <c r="E12" s="409" t="s">
        <v>392</v>
      </c>
      <c r="F12" s="406">
        <v>36076</v>
      </c>
      <c r="G12" s="413" t="s">
        <v>397</v>
      </c>
      <c r="H12" s="248" t="s">
        <v>398</v>
      </c>
      <c r="I12" s="417">
        <v>2</v>
      </c>
      <c r="J12" s="404" t="s">
        <v>404</v>
      </c>
      <c r="K12" s="416" t="s">
        <v>436</v>
      </c>
      <c r="L12" s="413" t="s">
        <v>446</v>
      </c>
      <c r="M12" s="434" t="s">
        <v>606</v>
      </c>
      <c r="N12" s="413" t="s">
        <v>455</v>
      </c>
      <c r="O12" s="416" t="s">
        <v>487</v>
      </c>
      <c r="P12" s="404" t="s">
        <v>404</v>
      </c>
      <c r="Q12" s="413" t="s">
        <v>520</v>
      </c>
      <c r="R12" s="416" t="s">
        <v>536</v>
      </c>
      <c r="S12" s="316" t="s">
        <v>36</v>
      </c>
      <c r="T12" s="316" t="s">
        <v>36</v>
      </c>
      <c r="U12" s="316" t="s">
        <v>36</v>
      </c>
      <c r="V12" s="316" t="s">
        <v>36</v>
      </c>
    </row>
    <row r="13" spans="1:22" ht="17.25" thickBot="1">
      <c r="A13" s="249">
        <v>6</v>
      </c>
      <c r="B13" s="472" t="s">
        <v>637</v>
      </c>
      <c r="C13" s="473" t="s">
        <v>638</v>
      </c>
      <c r="D13" s="315" t="s">
        <v>540</v>
      </c>
      <c r="E13" s="409" t="s">
        <v>392</v>
      </c>
      <c r="F13" s="406" t="s">
        <v>388</v>
      </c>
      <c r="G13" s="413" t="s">
        <v>397</v>
      </c>
      <c r="H13" s="248" t="s">
        <v>398</v>
      </c>
      <c r="I13" s="417">
        <v>1</v>
      </c>
      <c r="J13" s="404" t="s">
        <v>405</v>
      </c>
      <c r="K13" s="416" t="s">
        <v>432</v>
      </c>
      <c r="L13" s="413" t="s">
        <v>447</v>
      </c>
      <c r="M13" s="434" t="s">
        <v>606</v>
      </c>
      <c r="N13" s="413" t="s">
        <v>456</v>
      </c>
      <c r="O13" s="416" t="s">
        <v>488</v>
      </c>
      <c r="P13" s="404" t="s">
        <v>405</v>
      </c>
      <c r="Q13" s="413" t="s">
        <v>520</v>
      </c>
      <c r="R13" s="416" t="s">
        <v>534</v>
      </c>
      <c r="S13" s="316" t="s">
        <v>36</v>
      </c>
      <c r="T13" s="316" t="s">
        <v>36</v>
      </c>
      <c r="U13" s="316" t="s">
        <v>36</v>
      </c>
      <c r="V13" s="316" t="s">
        <v>36</v>
      </c>
    </row>
    <row r="14" spans="1:22" ht="26.25" thickBot="1">
      <c r="A14" s="249">
        <v>7</v>
      </c>
      <c r="B14" s="472" t="s">
        <v>639</v>
      </c>
      <c r="C14" s="474" t="s">
        <v>640</v>
      </c>
      <c r="D14" s="315" t="s">
        <v>541</v>
      </c>
      <c r="E14" s="411" t="s">
        <v>392</v>
      </c>
      <c r="F14" s="406">
        <v>35871</v>
      </c>
      <c r="G14" s="413" t="s">
        <v>397</v>
      </c>
      <c r="H14" s="248" t="s">
        <v>398</v>
      </c>
      <c r="I14" s="417">
        <v>1</v>
      </c>
      <c r="J14" s="404" t="s">
        <v>406</v>
      </c>
      <c r="K14" s="416" t="s">
        <v>437</v>
      </c>
      <c r="L14" s="413" t="s">
        <v>446</v>
      </c>
      <c r="M14" s="434" t="s">
        <v>606</v>
      </c>
      <c r="N14" s="413" t="s">
        <v>457</v>
      </c>
      <c r="O14" s="416" t="s">
        <v>489</v>
      </c>
      <c r="P14" s="404" t="s">
        <v>406</v>
      </c>
      <c r="Q14" s="413" t="s">
        <v>521</v>
      </c>
      <c r="R14" s="416" t="s">
        <v>524</v>
      </c>
      <c r="S14" s="316" t="s">
        <v>36</v>
      </c>
      <c r="T14" s="316" t="s">
        <v>36</v>
      </c>
      <c r="U14" s="316" t="s">
        <v>36</v>
      </c>
      <c r="V14" s="316" t="s">
        <v>36</v>
      </c>
    </row>
    <row r="15" spans="1:22" ht="17.25" thickBot="1">
      <c r="A15" s="249">
        <v>8</v>
      </c>
      <c r="B15" s="472" t="s">
        <v>641</v>
      </c>
      <c r="C15" s="474" t="s">
        <v>642</v>
      </c>
      <c r="D15" s="315" t="s">
        <v>541</v>
      </c>
      <c r="E15" s="409" t="s">
        <v>392</v>
      </c>
      <c r="F15" s="406">
        <v>35844</v>
      </c>
      <c r="G15" s="413" t="s">
        <v>397</v>
      </c>
      <c r="H15" s="248" t="s">
        <v>398</v>
      </c>
      <c r="I15" s="417">
        <v>1</v>
      </c>
      <c r="J15" s="404" t="s">
        <v>407</v>
      </c>
      <c r="K15" s="416" t="s">
        <v>433</v>
      </c>
      <c r="L15" s="413" t="s">
        <v>448</v>
      </c>
      <c r="M15" s="434" t="s">
        <v>606</v>
      </c>
      <c r="N15" s="413" t="s">
        <v>458</v>
      </c>
      <c r="O15" s="416" t="s">
        <v>490</v>
      </c>
      <c r="P15" s="404" t="s">
        <v>407</v>
      </c>
      <c r="Q15" s="413" t="s">
        <v>522</v>
      </c>
      <c r="R15" s="416" t="s">
        <v>522</v>
      </c>
      <c r="S15" s="316" t="s">
        <v>36</v>
      </c>
      <c r="T15" s="316" t="s">
        <v>36</v>
      </c>
      <c r="U15" s="316" t="s">
        <v>36</v>
      </c>
      <c r="V15" s="316" t="s">
        <v>36</v>
      </c>
    </row>
    <row r="16" spans="1:22" ht="26.25" thickBot="1">
      <c r="A16" s="249">
        <v>9</v>
      </c>
      <c r="B16" s="472" t="s">
        <v>643</v>
      </c>
      <c r="C16" s="474" t="s">
        <v>644</v>
      </c>
      <c r="D16" s="315" t="s">
        <v>541</v>
      </c>
      <c r="E16" s="409" t="s">
        <v>392</v>
      </c>
      <c r="F16" s="406">
        <v>35848</v>
      </c>
      <c r="G16" s="413" t="s">
        <v>397</v>
      </c>
      <c r="H16" s="248" t="s">
        <v>398</v>
      </c>
      <c r="I16" s="417">
        <v>3</v>
      </c>
      <c r="J16" s="404" t="s">
        <v>408</v>
      </c>
      <c r="K16" s="416" t="s">
        <v>438</v>
      </c>
      <c r="L16" s="413" t="s">
        <v>447</v>
      </c>
      <c r="M16" s="434" t="s">
        <v>606</v>
      </c>
      <c r="N16" s="413" t="s">
        <v>459</v>
      </c>
      <c r="O16" s="416" t="s">
        <v>491</v>
      </c>
      <c r="P16" s="404" t="s">
        <v>408</v>
      </c>
      <c r="Q16" s="413" t="s">
        <v>523</v>
      </c>
      <c r="R16" s="416" t="s">
        <v>534</v>
      </c>
      <c r="S16" s="316" t="s">
        <v>36</v>
      </c>
      <c r="T16" s="316" t="s">
        <v>36</v>
      </c>
      <c r="U16" s="316" t="s">
        <v>36</v>
      </c>
      <c r="V16" s="316" t="s">
        <v>36</v>
      </c>
    </row>
    <row r="17" spans="1:22" ht="17.25" thickBot="1">
      <c r="A17" s="249">
        <v>10</v>
      </c>
      <c r="B17" s="472" t="s">
        <v>645</v>
      </c>
      <c r="C17" s="473" t="s">
        <v>646</v>
      </c>
      <c r="D17" s="315" t="s">
        <v>540</v>
      </c>
      <c r="E17" s="410" t="s">
        <v>392</v>
      </c>
      <c r="F17" s="407">
        <v>36064</v>
      </c>
      <c r="G17" s="413" t="s">
        <v>397</v>
      </c>
      <c r="H17" s="248" t="s">
        <v>398</v>
      </c>
      <c r="I17" s="417">
        <v>1</v>
      </c>
      <c r="J17" s="404" t="s">
        <v>409</v>
      </c>
      <c r="K17" s="416" t="s">
        <v>439</v>
      </c>
      <c r="L17" s="413" t="s">
        <v>447</v>
      </c>
      <c r="M17" s="434" t="s">
        <v>606</v>
      </c>
      <c r="N17" s="413" t="s">
        <v>460</v>
      </c>
      <c r="O17" s="416" t="s">
        <v>492</v>
      </c>
      <c r="P17" s="404" t="s">
        <v>409</v>
      </c>
      <c r="Q17" s="413" t="s">
        <v>524</v>
      </c>
      <c r="R17" s="416" t="s">
        <v>534</v>
      </c>
      <c r="S17" s="316" t="s">
        <v>36</v>
      </c>
      <c r="T17" s="316" t="s">
        <v>36</v>
      </c>
      <c r="U17" s="316" t="s">
        <v>36</v>
      </c>
      <c r="V17" s="316" t="s">
        <v>36</v>
      </c>
    </row>
    <row r="18" spans="1:22" ht="17.25" thickBot="1">
      <c r="A18" s="249">
        <v>11</v>
      </c>
      <c r="B18" s="472" t="s">
        <v>647</v>
      </c>
      <c r="C18" s="474" t="s">
        <v>648</v>
      </c>
      <c r="D18" s="315" t="s">
        <v>541</v>
      </c>
      <c r="E18" s="409" t="s">
        <v>392</v>
      </c>
      <c r="F18" s="407">
        <v>35933</v>
      </c>
      <c r="G18" s="413" t="s">
        <v>397</v>
      </c>
      <c r="H18" s="248" t="s">
        <v>398</v>
      </c>
      <c r="I18" s="524">
        <v>1</v>
      </c>
      <c r="J18" s="404" t="s">
        <v>410</v>
      </c>
      <c r="K18" s="416" t="s">
        <v>440</v>
      </c>
      <c r="L18" s="413" t="s">
        <v>446</v>
      </c>
      <c r="M18" s="434" t="s">
        <v>606</v>
      </c>
      <c r="N18" s="413" t="s">
        <v>461</v>
      </c>
      <c r="O18" s="416" t="s">
        <v>493</v>
      </c>
      <c r="P18" s="404" t="s">
        <v>410</v>
      </c>
      <c r="Q18" s="413" t="s">
        <v>524</v>
      </c>
      <c r="R18" s="416" t="s">
        <v>537</v>
      </c>
      <c r="S18" s="316" t="s">
        <v>36</v>
      </c>
      <c r="T18" s="316" t="s">
        <v>36</v>
      </c>
      <c r="U18" s="316" t="s">
        <v>36</v>
      </c>
      <c r="V18" s="316" t="s">
        <v>36</v>
      </c>
    </row>
    <row r="19" spans="1:22" ht="17.25" thickBot="1">
      <c r="A19" s="249">
        <v>12</v>
      </c>
      <c r="B19" s="472" t="s">
        <v>649</v>
      </c>
      <c r="C19" s="474" t="s">
        <v>650</v>
      </c>
      <c r="D19" s="315" t="s">
        <v>541</v>
      </c>
      <c r="E19" s="409" t="s">
        <v>392</v>
      </c>
      <c r="F19" s="406">
        <v>36042</v>
      </c>
      <c r="G19" s="413" t="s">
        <v>397</v>
      </c>
      <c r="H19" s="248" t="s">
        <v>398</v>
      </c>
      <c r="I19" s="525"/>
      <c r="J19" s="404" t="s">
        <v>411</v>
      </c>
      <c r="K19" s="416" t="s">
        <v>433</v>
      </c>
      <c r="L19" s="413" t="s">
        <v>446</v>
      </c>
      <c r="M19" s="434" t="s">
        <v>606</v>
      </c>
      <c r="N19" s="413" t="s">
        <v>462</v>
      </c>
      <c r="O19" s="416" t="s">
        <v>494</v>
      </c>
      <c r="P19" s="404" t="s">
        <v>411</v>
      </c>
      <c r="Q19" s="413" t="s">
        <v>525</v>
      </c>
      <c r="R19" s="416" t="s">
        <v>534</v>
      </c>
      <c r="S19" s="316" t="s">
        <v>36</v>
      </c>
      <c r="T19" s="316" t="s">
        <v>36</v>
      </c>
      <c r="U19" s="316" t="s">
        <v>36</v>
      </c>
      <c r="V19" s="316" t="s">
        <v>36</v>
      </c>
    </row>
    <row r="20" spans="1:22" ht="26.25" thickBot="1">
      <c r="A20" s="249">
        <v>13</v>
      </c>
      <c r="B20" s="472" t="s">
        <v>651</v>
      </c>
      <c r="C20" s="474" t="s">
        <v>652</v>
      </c>
      <c r="D20" s="315" t="s">
        <v>541</v>
      </c>
      <c r="E20" s="411" t="s">
        <v>392</v>
      </c>
      <c r="F20" s="406">
        <v>35723</v>
      </c>
      <c r="G20" s="413" t="s">
        <v>397</v>
      </c>
      <c r="H20" s="248" t="s">
        <v>398</v>
      </c>
      <c r="I20" s="417">
        <v>2</v>
      </c>
      <c r="J20" s="404" t="s">
        <v>412</v>
      </c>
      <c r="K20" s="416" t="s">
        <v>441</v>
      </c>
      <c r="L20" s="413" t="s">
        <v>446</v>
      </c>
      <c r="M20" s="434" t="s">
        <v>606</v>
      </c>
      <c r="N20" s="413" t="s">
        <v>463</v>
      </c>
      <c r="O20" s="416" t="s">
        <v>495</v>
      </c>
      <c r="P20" s="404" t="s">
        <v>412</v>
      </c>
      <c r="Q20" s="413" t="s">
        <v>533</v>
      </c>
      <c r="R20" s="416" t="s">
        <v>530</v>
      </c>
      <c r="S20" s="316" t="s">
        <v>36</v>
      </c>
      <c r="T20" s="316" t="s">
        <v>36</v>
      </c>
      <c r="U20" s="316" t="s">
        <v>36</v>
      </c>
      <c r="V20" s="316" t="s">
        <v>36</v>
      </c>
    </row>
    <row r="21" spans="1:22" ht="26.25" thickBot="1">
      <c r="A21" s="249">
        <v>14</v>
      </c>
      <c r="B21" s="472" t="s">
        <v>653</v>
      </c>
      <c r="C21" s="475" t="s">
        <v>654</v>
      </c>
      <c r="D21" s="315" t="s">
        <v>541</v>
      </c>
      <c r="E21" s="409" t="s">
        <v>392</v>
      </c>
      <c r="F21" s="406" t="s">
        <v>389</v>
      </c>
      <c r="G21" s="413" t="s">
        <v>397</v>
      </c>
      <c r="H21" s="248" t="s">
        <v>398</v>
      </c>
      <c r="I21" s="417">
        <v>1</v>
      </c>
      <c r="J21" s="404" t="s">
        <v>413</v>
      </c>
      <c r="K21" s="416" t="s">
        <v>441</v>
      </c>
      <c r="L21" s="413" t="s">
        <v>446</v>
      </c>
      <c r="M21" s="434" t="s">
        <v>606</v>
      </c>
      <c r="N21" s="413" t="s">
        <v>464</v>
      </c>
      <c r="O21" s="416" t="s">
        <v>496</v>
      </c>
      <c r="P21" s="404" t="s">
        <v>413</v>
      </c>
      <c r="Q21" s="413" t="s">
        <v>524</v>
      </c>
      <c r="R21" s="416" t="s">
        <v>530</v>
      </c>
      <c r="S21" s="316" t="s">
        <v>36</v>
      </c>
      <c r="T21" s="316" t="s">
        <v>36</v>
      </c>
      <c r="U21" s="316" t="s">
        <v>36</v>
      </c>
      <c r="V21" s="316" t="s">
        <v>36</v>
      </c>
    </row>
    <row r="22" spans="1:22" ht="26.25" thickBot="1">
      <c r="A22" s="249">
        <v>15</v>
      </c>
      <c r="B22" s="472" t="s">
        <v>655</v>
      </c>
      <c r="C22" s="474" t="s">
        <v>656</v>
      </c>
      <c r="D22" s="315" t="s">
        <v>541</v>
      </c>
      <c r="E22" s="409" t="s">
        <v>392</v>
      </c>
      <c r="F22" s="406">
        <v>36013</v>
      </c>
      <c r="G22" s="413" t="s">
        <v>397</v>
      </c>
      <c r="H22" s="248" t="s">
        <v>398</v>
      </c>
      <c r="I22" s="417">
        <v>2</v>
      </c>
      <c r="J22" s="404" t="s">
        <v>414</v>
      </c>
      <c r="K22" s="416" t="s">
        <v>442</v>
      </c>
      <c r="L22" s="413" t="s">
        <v>449</v>
      </c>
      <c r="M22" s="434" t="s">
        <v>606</v>
      </c>
      <c r="N22" s="413" t="s">
        <v>465</v>
      </c>
      <c r="O22" s="416" t="s">
        <v>497</v>
      </c>
      <c r="P22" s="404" t="s">
        <v>414</v>
      </c>
      <c r="Q22" s="413" t="s">
        <v>526</v>
      </c>
      <c r="R22" s="416" t="s">
        <v>526</v>
      </c>
      <c r="S22" s="316" t="s">
        <v>36</v>
      </c>
      <c r="T22" s="316" t="s">
        <v>36</v>
      </c>
      <c r="U22" s="316" t="s">
        <v>36</v>
      </c>
      <c r="V22" s="316" t="s">
        <v>36</v>
      </c>
    </row>
    <row r="23" spans="1:22" ht="26.25" thickBot="1">
      <c r="A23" s="249">
        <v>16</v>
      </c>
      <c r="B23" s="472" t="s">
        <v>657</v>
      </c>
      <c r="C23" s="474" t="s">
        <v>658</v>
      </c>
      <c r="D23" s="315" t="s">
        <v>541</v>
      </c>
      <c r="E23" s="411" t="s">
        <v>392</v>
      </c>
      <c r="F23" s="406">
        <v>35863</v>
      </c>
      <c r="G23" s="413" t="s">
        <v>397</v>
      </c>
      <c r="H23" s="248" t="s">
        <v>398</v>
      </c>
      <c r="I23" s="417">
        <v>1</v>
      </c>
      <c r="J23" s="404" t="s">
        <v>415</v>
      </c>
      <c r="K23" s="416" t="s">
        <v>441</v>
      </c>
      <c r="L23" s="413" t="s">
        <v>449</v>
      </c>
      <c r="M23" s="434" t="s">
        <v>606</v>
      </c>
      <c r="N23" s="413" t="s">
        <v>466</v>
      </c>
      <c r="O23" s="416" t="s">
        <v>498</v>
      </c>
      <c r="P23" s="404" t="s">
        <v>415</v>
      </c>
      <c r="Q23" s="413" t="s">
        <v>526</v>
      </c>
      <c r="R23" s="416" t="s">
        <v>530</v>
      </c>
      <c r="S23" s="316" t="s">
        <v>36</v>
      </c>
      <c r="T23" s="316" t="s">
        <v>36</v>
      </c>
      <c r="U23" s="316" t="s">
        <v>36</v>
      </c>
      <c r="V23" s="316" t="s">
        <v>36</v>
      </c>
    </row>
    <row r="24" spans="1:22" ht="26.25" thickBot="1">
      <c r="A24" s="249">
        <v>17</v>
      </c>
      <c r="B24" s="472" t="s">
        <v>659</v>
      </c>
      <c r="C24" s="473" t="s">
        <v>660</v>
      </c>
      <c r="D24" s="315" t="s">
        <v>540</v>
      </c>
      <c r="E24" s="409" t="s">
        <v>392</v>
      </c>
      <c r="F24" s="406">
        <v>35990</v>
      </c>
      <c r="G24" s="413" t="s">
        <v>397</v>
      </c>
      <c r="H24" s="248" t="s">
        <v>398</v>
      </c>
      <c r="I24" s="417">
        <v>1</v>
      </c>
      <c r="J24" s="404" t="s">
        <v>416</v>
      </c>
      <c r="K24" s="416" t="s">
        <v>443</v>
      </c>
      <c r="L24" s="413" t="s">
        <v>446</v>
      </c>
      <c r="M24" s="434" t="s">
        <v>606</v>
      </c>
      <c r="N24" s="413" t="s">
        <v>467</v>
      </c>
      <c r="O24" s="416" t="s">
        <v>499</v>
      </c>
      <c r="P24" s="404" t="s">
        <v>416</v>
      </c>
      <c r="Q24" s="413" t="s">
        <v>526</v>
      </c>
      <c r="R24" s="416" t="s">
        <v>534</v>
      </c>
      <c r="S24" s="316" t="s">
        <v>36</v>
      </c>
      <c r="T24" s="316" t="s">
        <v>36</v>
      </c>
      <c r="U24" s="316" t="s">
        <v>36</v>
      </c>
      <c r="V24" s="316" t="s">
        <v>36</v>
      </c>
    </row>
    <row r="25" spans="1:22" ht="26.25" thickBot="1">
      <c r="A25" s="249">
        <v>18</v>
      </c>
      <c r="B25" s="472" t="s">
        <v>661</v>
      </c>
      <c r="C25" s="473" t="s">
        <v>662</v>
      </c>
      <c r="D25" s="315" t="s">
        <v>540</v>
      </c>
      <c r="E25" s="409" t="s">
        <v>392</v>
      </c>
      <c r="F25" s="406" t="s">
        <v>390</v>
      </c>
      <c r="G25" s="413" t="s">
        <v>397</v>
      </c>
      <c r="H25" s="248" t="s">
        <v>398</v>
      </c>
      <c r="I25" s="417">
        <v>1</v>
      </c>
      <c r="J25" s="414" t="s">
        <v>417</v>
      </c>
      <c r="K25" s="416" t="s">
        <v>442</v>
      </c>
      <c r="L25" s="413" t="s">
        <v>446</v>
      </c>
      <c r="M25" s="434" t="s">
        <v>606</v>
      </c>
      <c r="N25" s="413" t="s">
        <v>468</v>
      </c>
      <c r="O25" s="416" t="s">
        <v>500</v>
      </c>
      <c r="P25" s="414" t="s">
        <v>417</v>
      </c>
      <c r="Q25" s="413" t="s">
        <v>520</v>
      </c>
      <c r="R25" s="416" t="s">
        <v>524</v>
      </c>
      <c r="S25" s="316" t="s">
        <v>36</v>
      </c>
      <c r="T25" s="316" t="s">
        <v>36</v>
      </c>
      <c r="U25" s="316" t="s">
        <v>36</v>
      </c>
      <c r="V25" s="316" t="s">
        <v>36</v>
      </c>
    </row>
    <row r="26" spans="1:22" ht="17.25" thickBot="1">
      <c r="A26" s="249">
        <v>19</v>
      </c>
      <c r="B26" s="472" t="s">
        <v>663</v>
      </c>
      <c r="C26" s="473" t="s">
        <v>664</v>
      </c>
      <c r="D26" s="315" t="s">
        <v>540</v>
      </c>
      <c r="E26" s="411" t="s">
        <v>393</v>
      </c>
      <c r="F26" s="406">
        <v>36036</v>
      </c>
      <c r="G26" s="413" t="s">
        <v>397</v>
      </c>
      <c r="H26" s="248" t="s">
        <v>398</v>
      </c>
      <c r="I26" s="417">
        <v>1</v>
      </c>
      <c r="J26" s="415" t="s">
        <v>418</v>
      </c>
      <c r="K26" s="416" t="s">
        <v>438</v>
      </c>
      <c r="L26" s="413" t="s">
        <v>446</v>
      </c>
      <c r="M26" s="434" t="s">
        <v>606</v>
      </c>
      <c r="N26" s="413" t="s">
        <v>469</v>
      </c>
      <c r="O26" s="416" t="s">
        <v>501</v>
      </c>
      <c r="P26" s="415" t="s">
        <v>418</v>
      </c>
      <c r="Q26" s="413" t="s">
        <v>527</v>
      </c>
      <c r="R26" s="416" t="s">
        <v>534</v>
      </c>
      <c r="S26" s="316" t="s">
        <v>36</v>
      </c>
      <c r="T26" s="316" t="s">
        <v>36</v>
      </c>
      <c r="U26" s="316" t="s">
        <v>36</v>
      </c>
      <c r="V26" s="316" t="s">
        <v>36</v>
      </c>
    </row>
    <row r="27" spans="1:22" ht="17.25" thickBot="1">
      <c r="A27" s="249">
        <v>20</v>
      </c>
      <c r="B27" s="472" t="s">
        <v>665</v>
      </c>
      <c r="C27" s="476" t="s">
        <v>666</v>
      </c>
      <c r="D27" s="315" t="s">
        <v>541</v>
      </c>
      <c r="E27" s="409" t="s">
        <v>394</v>
      </c>
      <c r="F27" s="406">
        <v>36074</v>
      </c>
      <c r="G27" s="413" t="s">
        <v>397</v>
      </c>
      <c r="H27" s="248" t="s">
        <v>398</v>
      </c>
      <c r="I27" s="417">
        <v>2</v>
      </c>
      <c r="J27" s="415" t="s">
        <v>419</v>
      </c>
      <c r="K27" s="416" t="s">
        <v>444</v>
      </c>
      <c r="L27" s="413" t="s">
        <v>446</v>
      </c>
      <c r="M27" s="434" t="s">
        <v>606</v>
      </c>
      <c r="N27" s="413" t="s">
        <v>470</v>
      </c>
      <c r="O27" s="416" t="s">
        <v>502</v>
      </c>
      <c r="P27" s="415" t="s">
        <v>419</v>
      </c>
      <c r="Q27" s="413" t="s">
        <v>528</v>
      </c>
      <c r="R27" s="416" t="s">
        <v>534</v>
      </c>
      <c r="S27" s="316" t="s">
        <v>36</v>
      </c>
      <c r="T27" s="316" t="s">
        <v>36</v>
      </c>
      <c r="U27" s="316" t="s">
        <v>36</v>
      </c>
      <c r="V27" s="316" t="s">
        <v>36</v>
      </c>
    </row>
    <row r="28" spans="1:22" ht="17.25" thickBot="1">
      <c r="A28" s="249">
        <v>21</v>
      </c>
      <c r="B28" s="472" t="s">
        <v>667</v>
      </c>
      <c r="C28" s="476" t="s">
        <v>668</v>
      </c>
      <c r="D28" s="315" t="s">
        <v>541</v>
      </c>
      <c r="E28" s="409" t="s">
        <v>392</v>
      </c>
      <c r="F28" s="406">
        <v>36023</v>
      </c>
      <c r="G28" s="413" t="s">
        <v>397</v>
      </c>
      <c r="H28" s="248" t="s">
        <v>398</v>
      </c>
      <c r="I28" s="417">
        <v>2</v>
      </c>
      <c r="J28" s="415" t="s">
        <v>420</v>
      </c>
      <c r="K28" s="416" t="s">
        <v>438</v>
      </c>
      <c r="L28" s="413" t="s">
        <v>446</v>
      </c>
      <c r="M28" s="434" t="s">
        <v>606</v>
      </c>
      <c r="N28" s="413" t="s">
        <v>471</v>
      </c>
      <c r="O28" s="416" t="s">
        <v>503</v>
      </c>
      <c r="P28" s="415" t="s">
        <v>420</v>
      </c>
      <c r="Q28" s="413" t="s">
        <v>520</v>
      </c>
      <c r="R28" s="416" t="s">
        <v>538</v>
      </c>
      <c r="S28" s="316" t="s">
        <v>36</v>
      </c>
      <c r="T28" s="316" t="s">
        <v>36</v>
      </c>
      <c r="U28" s="316" t="s">
        <v>36</v>
      </c>
      <c r="V28" s="316" t="s">
        <v>36</v>
      </c>
    </row>
    <row r="29" spans="1:22" ht="17.25" thickBot="1">
      <c r="A29" s="249">
        <v>22</v>
      </c>
      <c r="B29" s="472" t="s">
        <v>669</v>
      </c>
      <c r="C29" s="473" t="s">
        <v>670</v>
      </c>
      <c r="D29" s="315" t="s">
        <v>540</v>
      </c>
      <c r="E29" s="411" t="s">
        <v>392</v>
      </c>
      <c r="F29" s="406">
        <v>36230</v>
      </c>
      <c r="G29" s="413" t="s">
        <v>397</v>
      </c>
      <c r="H29" s="248" t="s">
        <v>398</v>
      </c>
      <c r="I29" s="417">
        <v>3</v>
      </c>
      <c r="J29" s="415" t="s">
        <v>421</v>
      </c>
      <c r="K29" s="416" t="s">
        <v>437</v>
      </c>
      <c r="L29" s="413" t="s">
        <v>446</v>
      </c>
      <c r="M29" s="434" t="s">
        <v>606</v>
      </c>
      <c r="N29" s="413" t="s">
        <v>472</v>
      </c>
      <c r="O29" s="416" t="s">
        <v>504</v>
      </c>
      <c r="P29" s="415" t="s">
        <v>421</v>
      </c>
      <c r="Q29" s="413" t="s">
        <v>520</v>
      </c>
      <c r="R29" s="416" t="s">
        <v>534</v>
      </c>
      <c r="S29" s="316" t="s">
        <v>36</v>
      </c>
      <c r="T29" s="316" t="s">
        <v>36</v>
      </c>
      <c r="U29" s="316" t="s">
        <v>36</v>
      </c>
      <c r="V29" s="316" t="s">
        <v>36</v>
      </c>
    </row>
    <row r="30" spans="1:22" ht="17.25" thickBot="1">
      <c r="A30" s="249">
        <v>23</v>
      </c>
      <c r="B30" s="472" t="s">
        <v>671</v>
      </c>
      <c r="C30" s="474" t="s">
        <v>672</v>
      </c>
      <c r="D30" s="315" t="s">
        <v>541</v>
      </c>
      <c r="E30" s="409" t="s">
        <v>392</v>
      </c>
      <c r="F30" s="406">
        <v>36054</v>
      </c>
      <c r="G30" s="413" t="s">
        <v>397</v>
      </c>
      <c r="H30" s="248" t="s">
        <v>398</v>
      </c>
      <c r="I30" s="417">
        <v>3</v>
      </c>
      <c r="J30" s="415" t="s">
        <v>422</v>
      </c>
      <c r="K30" s="416" t="s">
        <v>445</v>
      </c>
      <c r="L30" s="413" t="s">
        <v>450</v>
      </c>
      <c r="M30" s="434" t="s">
        <v>606</v>
      </c>
      <c r="N30" s="413" t="s">
        <v>473</v>
      </c>
      <c r="O30" s="416" t="s">
        <v>505</v>
      </c>
      <c r="P30" s="415" t="s">
        <v>422</v>
      </c>
      <c r="Q30" s="413" t="s">
        <v>526</v>
      </c>
      <c r="R30" s="416" t="s">
        <v>526</v>
      </c>
      <c r="S30" s="316" t="s">
        <v>36</v>
      </c>
      <c r="T30" s="316" t="s">
        <v>36</v>
      </c>
      <c r="U30" s="316" t="s">
        <v>36</v>
      </c>
      <c r="V30" s="316" t="s">
        <v>36</v>
      </c>
    </row>
    <row r="31" spans="1:22" ht="17.25" thickBot="1">
      <c r="A31" s="249">
        <v>24</v>
      </c>
      <c r="B31" s="472" t="s">
        <v>673</v>
      </c>
      <c r="C31" s="474" t="s">
        <v>674</v>
      </c>
      <c r="D31" s="315" t="s">
        <v>541</v>
      </c>
      <c r="E31" s="409" t="s">
        <v>395</v>
      </c>
      <c r="F31" s="406">
        <v>35897</v>
      </c>
      <c r="G31" s="413" t="s">
        <v>397</v>
      </c>
      <c r="H31" s="248" t="s">
        <v>398</v>
      </c>
      <c r="I31" s="417">
        <v>3</v>
      </c>
      <c r="J31" s="415" t="s">
        <v>423</v>
      </c>
      <c r="K31" s="416" t="s">
        <v>438</v>
      </c>
      <c r="L31" s="413" t="s">
        <v>446</v>
      </c>
      <c r="M31" s="434" t="s">
        <v>606</v>
      </c>
      <c r="N31" s="413" t="s">
        <v>474</v>
      </c>
      <c r="O31" s="416" t="s">
        <v>506</v>
      </c>
      <c r="P31" s="415" t="s">
        <v>423</v>
      </c>
      <c r="Q31" s="413" t="s">
        <v>529</v>
      </c>
      <c r="R31" s="416" t="s">
        <v>537</v>
      </c>
      <c r="S31" s="316" t="s">
        <v>36</v>
      </c>
      <c r="T31" s="316" t="s">
        <v>36</v>
      </c>
      <c r="U31" s="316" t="s">
        <v>36</v>
      </c>
      <c r="V31" s="316" t="s">
        <v>36</v>
      </c>
    </row>
    <row r="32" spans="1:22" ht="17.25" thickBot="1">
      <c r="A32" s="249">
        <v>25</v>
      </c>
      <c r="B32" s="472" t="s">
        <v>675</v>
      </c>
      <c r="C32" s="473" t="s">
        <v>676</v>
      </c>
      <c r="D32" s="315" t="s">
        <v>540</v>
      </c>
      <c r="E32" s="411" t="s">
        <v>392</v>
      </c>
      <c r="F32" s="406">
        <v>35933</v>
      </c>
      <c r="G32" s="413" t="s">
        <v>397</v>
      </c>
      <c r="H32" s="248" t="s">
        <v>398</v>
      </c>
      <c r="I32" s="417">
        <v>1</v>
      </c>
      <c r="J32" s="415" t="s">
        <v>424</v>
      </c>
      <c r="K32" s="416" t="s">
        <v>435</v>
      </c>
      <c r="L32" s="413" t="s">
        <v>446</v>
      </c>
      <c r="M32" s="434" t="s">
        <v>606</v>
      </c>
      <c r="N32" s="413" t="s">
        <v>475</v>
      </c>
      <c r="O32" s="416" t="s">
        <v>507</v>
      </c>
      <c r="P32" s="415" t="s">
        <v>424</v>
      </c>
      <c r="Q32" s="413" t="s">
        <v>526</v>
      </c>
      <c r="R32" s="416" t="s">
        <v>539</v>
      </c>
      <c r="S32" s="316" t="s">
        <v>36</v>
      </c>
      <c r="T32" s="316" t="s">
        <v>36</v>
      </c>
      <c r="U32" s="316" t="s">
        <v>36</v>
      </c>
      <c r="V32" s="316" t="s">
        <v>36</v>
      </c>
    </row>
    <row r="33" spans="1:22" ht="17.25" thickBot="1">
      <c r="A33" s="249">
        <v>26</v>
      </c>
      <c r="B33" s="472" t="s">
        <v>677</v>
      </c>
      <c r="C33" s="476" t="s">
        <v>678</v>
      </c>
      <c r="D33" s="315" t="s">
        <v>541</v>
      </c>
      <c r="E33" s="409" t="s">
        <v>392</v>
      </c>
      <c r="F33" s="406">
        <v>36045</v>
      </c>
      <c r="G33" s="413" t="s">
        <v>397</v>
      </c>
      <c r="H33" s="248" t="s">
        <v>398</v>
      </c>
      <c r="I33" s="417">
        <v>1</v>
      </c>
      <c r="J33" s="415" t="s">
        <v>425</v>
      </c>
      <c r="K33" s="416" t="s">
        <v>442</v>
      </c>
      <c r="L33" s="413" t="s">
        <v>446</v>
      </c>
      <c r="M33" s="434" t="s">
        <v>606</v>
      </c>
      <c r="N33" s="413" t="s">
        <v>476</v>
      </c>
      <c r="O33" s="416" t="s">
        <v>508</v>
      </c>
      <c r="P33" s="415" t="s">
        <v>425</v>
      </c>
      <c r="Q33" s="413" t="s">
        <v>520</v>
      </c>
      <c r="R33" s="416" t="s">
        <v>534</v>
      </c>
      <c r="S33" s="316" t="s">
        <v>36</v>
      </c>
      <c r="T33" s="316" t="s">
        <v>36</v>
      </c>
      <c r="U33" s="316" t="s">
        <v>36</v>
      </c>
      <c r="V33" s="316" t="s">
        <v>36</v>
      </c>
    </row>
    <row r="34" spans="1:22" ht="17.25" thickBot="1">
      <c r="A34" s="249">
        <v>27</v>
      </c>
      <c r="B34" s="472" t="s">
        <v>679</v>
      </c>
      <c r="C34" s="476" t="s">
        <v>680</v>
      </c>
      <c r="D34" s="315" t="s">
        <v>541</v>
      </c>
      <c r="E34" s="409" t="s">
        <v>392</v>
      </c>
      <c r="F34" s="406">
        <v>35989</v>
      </c>
      <c r="G34" s="413" t="s">
        <v>397</v>
      </c>
      <c r="H34" s="248" t="s">
        <v>398</v>
      </c>
      <c r="I34" s="417">
        <v>1</v>
      </c>
      <c r="J34" s="415" t="s">
        <v>426</v>
      </c>
      <c r="K34" s="416" t="s">
        <v>432</v>
      </c>
      <c r="L34" s="413" t="s">
        <v>446</v>
      </c>
      <c r="M34" s="434" t="s">
        <v>606</v>
      </c>
      <c r="N34" s="413" t="s">
        <v>477</v>
      </c>
      <c r="O34" s="416" t="s">
        <v>509</v>
      </c>
      <c r="P34" s="415" t="s">
        <v>426</v>
      </c>
      <c r="Q34" s="413" t="s">
        <v>530</v>
      </c>
      <c r="R34" s="416" t="s">
        <v>534</v>
      </c>
      <c r="S34" s="316" t="s">
        <v>36</v>
      </c>
      <c r="T34" s="316" t="s">
        <v>36</v>
      </c>
      <c r="U34" s="316" t="s">
        <v>36</v>
      </c>
      <c r="V34" s="316" t="s">
        <v>36</v>
      </c>
    </row>
    <row r="35" spans="1:22" ht="17.25" thickBot="1">
      <c r="A35" s="249">
        <v>28</v>
      </c>
      <c r="B35" s="472" t="s">
        <v>681</v>
      </c>
      <c r="C35" s="476" t="s">
        <v>682</v>
      </c>
      <c r="D35" s="315" t="s">
        <v>541</v>
      </c>
      <c r="E35" s="411" t="s">
        <v>392</v>
      </c>
      <c r="F35" s="406">
        <v>35865</v>
      </c>
      <c r="G35" s="413" t="s">
        <v>397</v>
      </c>
      <c r="H35" s="248" t="s">
        <v>398</v>
      </c>
      <c r="I35" s="417">
        <v>2</v>
      </c>
      <c r="J35" s="415" t="s">
        <v>427</v>
      </c>
      <c r="K35" s="416" t="s">
        <v>432</v>
      </c>
      <c r="L35" s="413" t="s">
        <v>448</v>
      </c>
      <c r="M35" s="434" t="s">
        <v>606</v>
      </c>
      <c r="N35" s="413" t="s">
        <v>478</v>
      </c>
      <c r="O35" s="416" t="s">
        <v>510</v>
      </c>
      <c r="P35" s="415" t="s">
        <v>427</v>
      </c>
      <c r="Q35" s="413" t="s">
        <v>520</v>
      </c>
      <c r="R35" s="416" t="s">
        <v>534</v>
      </c>
      <c r="S35" s="316" t="s">
        <v>36</v>
      </c>
      <c r="T35" s="316" t="s">
        <v>36</v>
      </c>
      <c r="U35" s="316" t="s">
        <v>36</v>
      </c>
      <c r="V35" s="316" t="s">
        <v>36</v>
      </c>
    </row>
    <row r="36" spans="1:22" ht="17.25" thickBot="1">
      <c r="A36" s="249">
        <v>29</v>
      </c>
      <c r="B36" s="472" t="s">
        <v>683</v>
      </c>
      <c r="C36" s="476" t="s">
        <v>684</v>
      </c>
      <c r="D36" s="315" t="s">
        <v>541</v>
      </c>
      <c r="E36" s="409" t="s">
        <v>392</v>
      </c>
      <c r="F36" s="406">
        <v>35845</v>
      </c>
      <c r="G36" s="413" t="s">
        <v>397</v>
      </c>
      <c r="H36" s="248" t="s">
        <v>398</v>
      </c>
      <c r="I36" s="417">
        <v>1</v>
      </c>
      <c r="J36" s="415" t="s">
        <v>428</v>
      </c>
      <c r="K36" s="416" t="s">
        <v>440</v>
      </c>
      <c r="L36" s="413" t="s">
        <v>446</v>
      </c>
      <c r="M36" s="434" t="s">
        <v>606</v>
      </c>
      <c r="N36" s="413" t="s">
        <v>479</v>
      </c>
      <c r="O36" s="416" t="s">
        <v>511</v>
      </c>
      <c r="P36" s="415" t="s">
        <v>428</v>
      </c>
      <c r="Q36" s="413" t="s">
        <v>520</v>
      </c>
      <c r="R36" s="416" t="s">
        <v>530</v>
      </c>
      <c r="S36" s="316" t="s">
        <v>36</v>
      </c>
      <c r="T36" s="316" t="s">
        <v>36</v>
      </c>
      <c r="U36" s="316" t="s">
        <v>36</v>
      </c>
      <c r="V36" s="316" t="s">
        <v>36</v>
      </c>
    </row>
    <row r="37" spans="1:22" ht="17.25" thickBot="1">
      <c r="A37" s="249">
        <v>30</v>
      </c>
      <c r="B37" s="472" t="s">
        <v>685</v>
      </c>
      <c r="C37" s="471" t="s">
        <v>686</v>
      </c>
      <c r="D37" s="315" t="s">
        <v>540</v>
      </c>
      <c r="E37" s="409" t="s">
        <v>392</v>
      </c>
      <c r="F37" s="406">
        <v>36322</v>
      </c>
      <c r="G37" s="413" t="s">
        <v>397</v>
      </c>
      <c r="H37" s="248" t="s">
        <v>398</v>
      </c>
      <c r="I37" s="417">
        <v>4</v>
      </c>
      <c r="J37" s="415" t="s">
        <v>429</v>
      </c>
      <c r="K37" s="416" t="s">
        <v>432</v>
      </c>
      <c r="L37" s="413" t="s">
        <v>450</v>
      </c>
      <c r="M37" s="434" t="s">
        <v>606</v>
      </c>
      <c r="N37" s="413" t="s">
        <v>480</v>
      </c>
      <c r="O37" s="416" t="s">
        <v>512</v>
      </c>
      <c r="P37" s="415" t="s">
        <v>515</v>
      </c>
      <c r="Q37" s="413" t="s">
        <v>531</v>
      </c>
      <c r="R37" s="416" t="s">
        <v>534</v>
      </c>
      <c r="S37" s="316" t="s">
        <v>36</v>
      </c>
      <c r="T37" s="316" t="s">
        <v>36</v>
      </c>
      <c r="U37" s="316" t="s">
        <v>36</v>
      </c>
      <c r="V37" s="316" t="s">
        <v>36</v>
      </c>
    </row>
    <row r="38" spans="1:22" ht="17.25" thickBot="1">
      <c r="A38" s="249">
        <v>31</v>
      </c>
      <c r="B38" s="472" t="s">
        <v>687</v>
      </c>
      <c r="C38" s="476" t="s">
        <v>688</v>
      </c>
      <c r="D38" s="315" t="s">
        <v>541</v>
      </c>
      <c r="E38" s="412" t="s">
        <v>396</v>
      </c>
      <c r="F38" s="406" t="s">
        <v>391</v>
      </c>
      <c r="G38" s="413" t="s">
        <v>397</v>
      </c>
      <c r="H38" s="248" t="s">
        <v>398</v>
      </c>
      <c r="I38" s="417">
        <v>2</v>
      </c>
      <c r="J38" s="415" t="s">
        <v>430</v>
      </c>
      <c r="K38" s="416" t="s">
        <v>441</v>
      </c>
      <c r="L38" s="413" t="s">
        <v>450</v>
      </c>
      <c r="M38" s="434" t="s">
        <v>606</v>
      </c>
      <c r="N38" s="413" t="s">
        <v>481</v>
      </c>
      <c r="O38" s="416" t="s">
        <v>513</v>
      </c>
      <c r="P38" s="415" t="s">
        <v>430</v>
      </c>
      <c r="Q38" s="413" t="s">
        <v>530</v>
      </c>
      <c r="R38" s="416" t="s">
        <v>534</v>
      </c>
      <c r="S38" s="316" t="s">
        <v>36</v>
      </c>
      <c r="T38" s="316" t="s">
        <v>36</v>
      </c>
      <c r="U38" s="316" t="s">
        <v>36</v>
      </c>
      <c r="V38" s="316" t="s">
        <v>36</v>
      </c>
    </row>
    <row r="39" spans="1:22" ht="17.25" thickBot="1">
      <c r="A39" s="249">
        <v>32</v>
      </c>
      <c r="B39" s="477" t="s">
        <v>689</v>
      </c>
      <c r="C39" s="476" t="s">
        <v>690</v>
      </c>
      <c r="D39" s="315" t="s">
        <v>541</v>
      </c>
      <c r="E39" s="412" t="s">
        <v>392</v>
      </c>
      <c r="F39" s="408">
        <v>35977</v>
      </c>
      <c r="G39" s="413" t="s">
        <v>397</v>
      </c>
      <c r="H39" s="248" t="s">
        <v>398</v>
      </c>
      <c r="I39" s="417">
        <v>2</v>
      </c>
      <c r="J39" s="415" t="s">
        <v>431</v>
      </c>
      <c r="K39" s="416" t="s">
        <v>433</v>
      </c>
      <c r="L39" s="413" t="s">
        <v>446</v>
      </c>
      <c r="M39" s="434" t="s">
        <v>606</v>
      </c>
      <c r="N39" s="413" t="s">
        <v>482</v>
      </c>
      <c r="O39" s="416" t="s">
        <v>514</v>
      </c>
      <c r="P39" s="415" t="s">
        <v>431</v>
      </c>
      <c r="Q39" s="413" t="s">
        <v>532</v>
      </c>
      <c r="R39" s="416" t="s">
        <v>530</v>
      </c>
      <c r="S39" s="316" t="s">
        <v>36</v>
      </c>
      <c r="T39" s="316" t="s">
        <v>36</v>
      </c>
      <c r="U39" s="316" t="s">
        <v>36</v>
      </c>
      <c r="V39" s="316" t="s">
        <v>36</v>
      </c>
    </row>
    <row r="40" spans="1:22">
      <c r="A40" s="249">
        <v>33</v>
      </c>
      <c r="B40" s="250"/>
      <c r="C40" s="251"/>
      <c r="D40" s="250"/>
      <c r="E40" s="251"/>
      <c r="F40" s="252"/>
      <c r="G40" s="253"/>
      <c r="H40" s="250"/>
      <c r="I40" s="250"/>
      <c r="J40" s="251"/>
      <c r="K40" s="258"/>
      <c r="L40" s="255"/>
      <c r="M40" s="251"/>
      <c r="N40" s="251"/>
      <c r="O40" s="251"/>
      <c r="P40" s="251"/>
      <c r="Q40" s="251"/>
      <c r="R40" s="260"/>
      <c r="S40" s="260"/>
      <c r="T40" s="260"/>
      <c r="U40" s="260"/>
    </row>
    <row r="41" spans="1:22">
      <c r="A41" s="249">
        <v>34</v>
      </c>
      <c r="B41" s="250"/>
      <c r="C41" s="251"/>
      <c r="D41" s="255"/>
      <c r="E41" s="251"/>
      <c r="F41" s="252"/>
      <c r="G41" s="253"/>
      <c r="H41" s="250"/>
      <c r="I41" s="250"/>
      <c r="J41" s="251"/>
      <c r="K41" s="254"/>
      <c r="L41" s="255"/>
      <c r="M41" s="251"/>
      <c r="N41" s="251"/>
      <c r="O41" s="251"/>
      <c r="P41" s="251"/>
      <c r="Q41" s="251"/>
      <c r="R41" s="260"/>
      <c r="S41" s="260"/>
      <c r="T41" s="260"/>
      <c r="U41" s="260"/>
    </row>
    <row r="42" spans="1:22">
      <c r="A42" s="249">
        <v>35</v>
      </c>
      <c r="B42" s="250"/>
      <c r="C42" s="251"/>
      <c r="D42" s="250"/>
      <c r="E42" s="251"/>
      <c r="F42" s="252"/>
      <c r="G42" s="253"/>
      <c r="H42" s="250"/>
      <c r="I42" s="250"/>
      <c r="J42" s="251"/>
      <c r="K42" s="258"/>
      <c r="L42" s="255"/>
      <c r="M42" s="251"/>
      <c r="N42" s="251"/>
      <c r="O42" s="251"/>
      <c r="P42" s="251"/>
      <c r="Q42" s="251"/>
      <c r="R42" s="260"/>
      <c r="S42" s="260"/>
      <c r="T42" s="260"/>
      <c r="U42" s="260"/>
    </row>
    <row r="43" spans="1:22">
      <c r="A43" s="249">
        <v>36</v>
      </c>
      <c r="B43" s="255"/>
      <c r="C43" s="256"/>
      <c r="D43" s="255"/>
      <c r="E43" s="256"/>
      <c r="F43" s="257"/>
      <c r="G43" s="255"/>
      <c r="H43" s="255"/>
      <c r="I43" s="255"/>
      <c r="J43" s="256"/>
      <c r="K43" s="254"/>
      <c r="L43" s="255"/>
      <c r="M43" s="256"/>
      <c r="N43" s="256"/>
      <c r="O43" s="256"/>
      <c r="P43" s="256"/>
      <c r="Q43" s="256"/>
      <c r="R43" s="260"/>
      <c r="S43" s="260"/>
      <c r="T43" s="260"/>
      <c r="U43" s="260"/>
    </row>
    <row r="44" spans="1:22">
      <c r="A44" s="249">
        <v>37</v>
      </c>
      <c r="B44" s="255"/>
      <c r="C44" s="256"/>
      <c r="D44" s="255"/>
      <c r="E44" s="256"/>
      <c r="F44" s="257"/>
      <c r="G44" s="255"/>
      <c r="H44" s="255"/>
      <c r="I44" s="255"/>
      <c r="J44" s="256"/>
      <c r="K44" s="254"/>
      <c r="L44" s="255"/>
      <c r="M44" s="255"/>
      <c r="N44" s="256"/>
      <c r="O44" s="256"/>
      <c r="P44" s="256"/>
      <c r="Q44" s="256"/>
      <c r="R44" s="256"/>
      <c r="S44" s="260"/>
      <c r="T44" s="260"/>
      <c r="U44" s="260"/>
      <c r="V44" s="260"/>
    </row>
    <row r="45" spans="1:22">
      <c r="A45" s="249">
        <v>38</v>
      </c>
      <c r="B45" s="255"/>
      <c r="C45" s="256"/>
      <c r="D45" s="255"/>
      <c r="E45" s="256"/>
      <c r="F45" s="257"/>
      <c r="G45" s="255"/>
      <c r="H45" s="255"/>
      <c r="I45" s="255"/>
      <c r="J45" s="256"/>
      <c r="K45" s="254"/>
      <c r="L45" s="255"/>
      <c r="M45" s="255"/>
      <c r="N45" s="256"/>
      <c r="O45" s="256"/>
      <c r="P45" s="256"/>
      <c r="Q45" s="256"/>
      <c r="R45" s="256"/>
      <c r="S45" s="260"/>
      <c r="T45" s="260"/>
      <c r="U45" s="260"/>
      <c r="V45" s="260"/>
    </row>
    <row r="46" spans="1:22">
      <c r="A46" s="249">
        <v>39</v>
      </c>
      <c r="B46" s="255"/>
      <c r="C46" s="256"/>
      <c r="D46" s="255"/>
      <c r="E46" s="256"/>
      <c r="F46" s="257"/>
      <c r="G46" s="255"/>
      <c r="H46" s="255"/>
      <c r="I46" s="255"/>
      <c r="J46" s="256"/>
      <c r="K46" s="254"/>
      <c r="L46" s="255"/>
      <c r="M46" s="255"/>
      <c r="N46" s="256"/>
      <c r="O46" s="256"/>
      <c r="P46" s="256"/>
      <c r="Q46" s="256"/>
      <c r="R46" s="256"/>
      <c r="S46" s="260"/>
      <c r="T46" s="260"/>
      <c r="U46" s="260"/>
      <c r="V46" s="260"/>
    </row>
    <row r="47" spans="1:22">
      <c r="A47" s="249">
        <v>40</v>
      </c>
      <c r="B47" s="255"/>
      <c r="C47" s="256"/>
      <c r="D47" s="255"/>
      <c r="E47" s="256"/>
      <c r="F47" s="257"/>
      <c r="G47" s="255"/>
      <c r="H47" s="255"/>
      <c r="I47" s="255"/>
      <c r="J47" s="256"/>
      <c r="K47" s="254"/>
      <c r="L47" s="255"/>
      <c r="M47" s="255"/>
      <c r="N47" s="256"/>
      <c r="O47" s="256"/>
      <c r="P47" s="256"/>
      <c r="Q47" s="256"/>
      <c r="R47" s="256"/>
      <c r="S47" s="260"/>
      <c r="T47" s="260"/>
      <c r="U47" s="260"/>
      <c r="V47" s="260"/>
    </row>
  </sheetData>
  <mergeCells count="17">
    <mergeCell ref="M6:M7"/>
    <mergeCell ref="I18:I19"/>
    <mergeCell ref="N6:R6"/>
    <mergeCell ref="S6:V6"/>
    <mergeCell ref="A1:R1"/>
    <mergeCell ref="A4:B4"/>
    <mergeCell ref="A6:A7"/>
    <mergeCell ref="B6:B7"/>
    <mergeCell ref="C6:C7"/>
    <mergeCell ref="D6:D7"/>
    <mergeCell ref="E6:F7"/>
    <mergeCell ref="G6:G7"/>
    <mergeCell ref="H6:H7"/>
    <mergeCell ref="I6:I7"/>
    <mergeCell ref="J6:J7"/>
    <mergeCell ref="K6:K7"/>
    <mergeCell ref="L6:L7"/>
  </mergeCells>
  <pageMargins left="0.7" right="0.7" top="0.75" bottom="0.75" header="0.3" footer="0.3"/>
  <pageSetup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7030A0"/>
  </sheetPr>
  <dimension ref="A1:AF55"/>
  <sheetViews>
    <sheetView topLeftCell="C3" zoomScale="68" zoomScaleNormal="68" workbookViewId="0">
      <selection activeCell="M11" sqref="M11"/>
    </sheetView>
  </sheetViews>
  <sheetFormatPr defaultColWidth="0" defaultRowHeight="16.5" customHeight="1" zeroHeight="1"/>
  <cols>
    <col min="1" max="1" width="6.28515625" style="120" customWidth="1"/>
    <col min="2" max="2" width="10.85546875" style="120" customWidth="1"/>
    <col min="3" max="3" width="22.5703125" style="124" customWidth="1"/>
    <col min="4" max="4" width="6.85546875" style="124" customWidth="1"/>
    <col min="5" max="5" width="8.42578125" style="124" customWidth="1"/>
    <col min="6" max="6" width="14.140625" style="120" customWidth="1"/>
    <col min="7" max="7" width="33" style="120" customWidth="1"/>
    <col min="8" max="8" width="11.28515625" style="120" customWidth="1"/>
    <col min="9" max="9" width="26.7109375" style="120" customWidth="1"/>
    <col min="10" max="10" width="10.140625" style="120" customWidth="1"/>
    <col min="11" max="11" width="27.42578125" style="120" customWidth="1"/>
    <col min="12" max="12" width="14.42578125" style="120" customWidth="1"/>
    <col min="13" max="13" width="26.85546875" style="120" customWidth="1"/>
    <col min="14" max="14" width="10.28515625" style="120" customWidth="1"/>
    <col min="15" max="16384" width="0" style="120" hidden="1"/>
  </cols>
  <sheetData>
    <row r="1" spans="1:32" ht="18">
      <c r="A1" s="533" t="s">
        <v>291</v>
      </c>
      <c r="B1" s="533"/>
      <c r="C1" s="533"/>
      <c r="D1" s="533"/>
      <c r="E1" s="533"/>
      <c r="F1" s="533"/>
      <c r="G1" s="533"/>
      <c r="H1" s="533"/>
      <c r="I1" s="533"/>
      <c r="J1" s="533"/>
      <c r="K1" s="533"/>
      <c r="L1" s="533"/>
      <c r="M1" s="533"/>
      <c r="N1" s="119"/>
      <c r="O1" s="119"/>
      <c r="P1" s="119"/>
      <c r="Q1" s="119"/>
      <c r="R1" s="119"/>
      <c r="S1" s="119"/>
      <c r="T1" s="119"/>
      <c r="U1" s="119"/>
      <c r="V1" s="119"/>
      <c r="W1" s="119"/>
      <c r="X1" s="119"/>
      <c r="Y1" s="119"/>
      <c r="Z1" s="119"/>
      <c r="AA1" s="119"/>
      <c r="AB1" s="119"/>
      <c r="AC1" s="119"/>
      <c r="AD1" s="119"/>
      <c r="AE1" s="119"/>
      <c r="AF1" s="119"/>
    </row>
    <row r="2" spans="1:32" ht="22.5" customHeight="1">
      <c r="A2" s="533"/>
      <c r="B2" s="533"/>
      <c r="C2" s="533"/>
      <c r="D2" s="533"/>
      <c r="E2" s="533"/>
      <c r="F2" s="533"/>
      <c r="G2" s="533"/>
      <c r="H2" s="533"/>
      <c r="I2" s="533"/>
      <c r="J2" s="533"/>
      <c r="K2" s="533"/>
      <c r="L2" s="533"/>
      <c r="M2" s="533"/>
    </row>
    <row r="3" spans="1:32" ht="20.25" customHeight="1">
      <c r="A3" s="534" t="s">
        <v>48</v>
      </c>
      <c r="B3" s="534" t="s">
        <v>63</v>
      </c>
      <c r="C3" s="534" t="s">
        <v>189</v>
      </c>
      <c r="D3" s="534" t="s">
        <v>190</v>
      </c>
      <c r="E3" s="535" t="s">
        <v>194</v>
      </c>
      <c r="F3" s="537" t="s">
        <v>292</v>
      </c>
      <c r="G3" s="537"/>
      <c r="H3" s="537"/>
      <c r="I3" s="537"/>
      <c r="J3" s="537"/>
      <c r="K3" s="537"/>
      <c r="L3" s="537"/>
      <c r="M3" s="537"/>
    </row>
    <row r="4" spans="1:32" ht="35.25" customHeight="1">
      <c r="A4" s="534"/>
      <c r="B4" s="534"/>
      <c r="C4" s="534"/>
      <c r="D4" s="534"/>
      <c r="E4" s="536"/>
      <c r="F4" s="121" t="s">
        <v>248</v>
      </c>
      <c r="G4" s="121" t="s">
        <v>293</v>
      </c>
      <c r="H4" s="121" t="s">
        <v>249</v>
      </c>
      <c r="I4" s="121" t="s">
        <v>293</v>
      </c>
      <c r="J4" s="121" t="s">
        <v>250</v>
      </c>
      <c r="K4" s="121" t="s">
        <v>293</v>
      </c>
      <c r="L4" s="122" t="s">
        <v>251</v>
      </c>
      <c r="M4" s="123" t="s">
        <v>293</v>
      </c>
    </row>
    <row r="5" spans="1:32" ht="39.950000000000003" customHeight="1">
      <c r="A5" s="296">
        <v>1</v>
      </c>
      <c r="B5" s="296" t="str">
        <f>DataSiswa!B8</f>
        <v>9986980442</v>
      </c>
      <c r="C5" s="297" t="str">
        <f>DataSiswa!C8</f>
        <v>Aditya Taufik Sastra</v>
      </c>
      <c r="D5" s="297" t="str">
        <f>DataSiswa!D8</f>
        <v>Laki-laki</v>
      </c>
      <c r="E5" s="296" t="str">
        <f>DataSiswa!$L$9</f>
        <v>X MIA 2</v>
      </c>
      <c r="F5" s="261" t="s">
        <v>548</v>
      </c>
      <c r="G5" s="261" t="s">
        <v>612</v>
      </c>
      <c r="H5" s="266" t="s">
        <v>36</v>
      </c>
      <c r="I5" s="266" t="s">
        <v>36</v>
      </c>
      <c r="J5" s="266" t="s">
        <v>36</v>
      </c>
      <c r="K5" s="266" t="s">
        <v>36</v>
      </c>
      <c r="L5" s="266" t="s">
        <v>36</v>
      </c>
      <c r="M5" s="266" t="s">
        <v>36</v>
      </c>
    </row>
    <row r="6" spans="1:32" ht="39.950000000000003" customHeight="1">
      <c r="A6" s="296">
        <f t="shared" ref="A6:A39" si="0">+SUM(A5+1)</f>
        <v>2</v>
      </c>
      <c r="B6" s="296" t="str">
        <f>DataSiswa!B9</f>
        <v>9982907972</v>
      </c>
      <c r="C6" s="297" t="str">
        <f>DataSiswa!C9</f>
        <v>Angger Ghufron Pangestu</v>
      </c>
      <c r="D6" s="297" t="str">
        <f>DataSiswa!D9</f>
        <v>Laki-laki</v>
      </c>
      <c r="E6" s="296" t="str">
        <f>DataSiswa!$L$9</f>
        <v>X MIA 2</v>
      </c>
      <c r="F6" s="261" t="s">
        <v>548</v>
      </c>
      <c r="G6" s="261" t="s">
        <v>612</v>
      </c>
      <c r="H6" s="266" t="s">
        <v>36</v>
      </c>
      <c r="I6" s="266" t="s">
        <v>36</v>
      </c>
      <c r="J6" s="266" t="s">
        <v>36</v>
      </c>
      <c r="K6" s="266" t="s">
        <v>36</v>
      </c>
      <c r="L6" s="266" t="s">
        <v>36</v>
      </c>
      <c r="M6" s="266" t="s">
        <v>36</v>
      </c>
    </row>
    <row r="7" spans="1:32" ht="39.950000000000003" customHeight="1">
      <c r="A7" s="296">
        <f t="shared" si="0"/>
        <v>3</v>
      </c>
      <c r="B7" s="296" t="str">
        <f>DataSiswa!B10</f>
        <v>9983601594</v>
      </c>
      <c r="C7" s="297" t="str">
        <f>DataSiswa!C10</f>
        <v>Anjellia Novia Safitri</v>
      </c>
      <c r="D7" s="297" t="str">
        <f>DataSiswa!D10</f>
        <v>Perempuan</v>
      </c>
      <c r="E7" s="296" t="str">
        <f>DataSiswa!$L$9</f>
        <v>X MIA 2</v>
      </c>
      <c r="F7" s="261" t="s">
        <v>548</v>
      </c>
      <c r="G7" s="261" t="s">
        <v>612</v>
      </c>
      <c r="H7" s="261" t="s">
        <v>613</v>
      </c>
      <c r="I7" s="261" t="s">
        <v>621</v>
      </c>
      <c r="J7" s="266" t="s">
        <v>36</v>
      </c>
      <c r="K7" s="266" t="s">
        <v>36</v>
      </c>
      <c r="L7" s="266" t="s">
        <v>36</v>
      </c>
      <c r="M7" s="266" t="s">
        <v>36</v>
      </c>
    </row>
    <row r="8" spans="1:32" ht="39.950000000000003" customHeight="1">
      <c r="A8" s="296">
        <f t="shared" si="0"/>
        <v>4</v>
      </c>
      <c r="B8" s="296" t="str">
        <f>DataSiswa!B11</f>
        <v>9989091797</v>
      </c>
      <c r="C8" s="297" t="str">
        <f>DataSiswa!C11</f>
        <v>Azis Fahrozi</v>
      </c>
      <c r="D8" s="297" t="str">
        <f>DataSiswa!D11</f>
        <v>Laki-laki</v>
      </c>
      <c r="E8" s="296" t="str">
        <f>DataSiswa!$L$9</f>
        <v>X MIA 2</v>
      </c>
      <c r="F8" s="261" t="s">
        <v>548</v>
      </c>
      <c r="G8" s="261" t="s">
        <v>612</v>
      </c>
      <c r="H8" s="266" t="s">
        <v>36</v>
      </c>
      <c r="I8" s="266" t="s">
        <v>36</v>
      </c>
      <c r="J8" s="266" t="s">
        <v>36</v>
      </c>
      <c r="K8" s="266" t="s">
        <v>36</v>
      </c>
      <c r="L8" s="266" t="s">
        <v>36</v>
      </c>
      <c r="M8" s="266" t="s">
        <v>36</v>
      </c>
    </row>
    <row r="9" spans="1:32" ht="39.950000000000003" customHeight="1">
      <c r="A9" s="296">
        <f t="shared" si="0"/>
        <v>5</v>
      </c>
      <c r="B9" s="296" t="str">
        <f>DataSiswa!B12</f>
        <v>9989983501</v>
      </c>
      <c r="C9" s="297" t="str">
        <f>DataSiswa!C12</f>
        <v>Berliana Monica</v>
      </c>
      <c r="D9" s="297" t="str">
        <f>DataSiswa!D12</f>
        <v>Perempuan</v>
      </c>
      <c r="E9" s="296" t="str">
        <f>DataSiswa!$L$9</f>
        <v>X MIA 2</v>
      </c>
      <c r="F9" s="261" t="s">
        <v>548</v>
      </c>
      <c r="G9" s="261" t="s">
        <v>612</v>
      </c>
      <c r="H9" s="261" t="s">
        <v>613</v>
      </c>
      <c r="I9" s="261" t="s">
        <v>621</v>
      </c>
      <c r="J9" s="266" t="s">
        <v>36</v>
      </c>
      <c r="K9" s="266" t="s">
        <v>36</v>
      </c>
      <c r="L9" s="266" t="s">
        <v>36</v>
      </c>
      <c r="M9" s="266" t="s">
        <v>36</v>
      </c>
    </row>
    <row r="10" spans="1:32" ht="39.950000000000003" customHeight="1">
      <c r="A10" s="296">
        <f t="shared" si="0"/>
        <v>6</v>
      </c>
      <c r="B10" s="296" t="str">
        <f>DataSiswa!B13</f>
        <v>9970817548</v>
      </c>
      <c r="C10" s="297" t="str">
        <f>DataSiswa!C13</f>
        <v>Defri Nofriadi</v>
      </c>
      <c r="D10" s="297" t="str">
        <f>DataSiswa!D13</f>
        <v>Laki-laki</v>
      </c>
      <c r="E10" s="296" t="str">
        <f>DataSiswa!$L$9</f>
        <v>X MIA 2</v>
      </c>
      <c r="F10" s="261" t="s">
        <v>548</v>
      </c>
      <c r="G10" s="261" t="s">
        <v>612</v>
      </c>
      <c r="H10" s="266" t="s">
        <v>36</v>
      </c>
      <c r="I10" s="266" t="s">
        <v>36</v>
      </c>
      <c r="J10" s="266" t="s">
        <v>36</v>
      </c>
      <c r="K10" s="266" t="s">
        <v>36</v>
      </c>
      <c r="L10" s="266" t="s">
        <v>36</v>
      </c>
      <c r="M10" s="266" t="s">
        <v>36</v>
      </c>
    </row>
    <row r="11" spans="1:32" ht="39.950000000000003" customHeight="1">
      <c r="A11" s="296">
        <f t="shared" si="0"/>
        <v>7</v>
      </c>
      <c r="B11" s="296" t="str">
        <f>DataSiswa!B14</f>
        <v>9980817555</v>
      </c>
      <c r="C11" s="297" t="str">
        <f>DataSiswa!C14</f>
        <v>Dina Mardana Dulas</v>
      </c>
      <c r="D11" s="297" t="str">
        <f>DataSiswa!D14</f>
        <v>Perempuan</v>
      </c>
      <c r="E11" s="296" t="str">
        <f>DataSiswa!$L$9</f>
        <v>X MIA 2</v>
      </c>
      <c r="F11" s="261" t="s">
        <v>548</v>
      </c>
      <c r="G11" s="261" t="s">
        <v>612</v>
      </c>
      <c r="H11" s="261" t="s">
        <v>613</v>
      </c>
      <c r="I11" s="261" t="s">
        <v>621</v>
      </c>
      <c r="J11" s="266" t="s">
        <v>36</v>
      </c>
      <c r="K11" s="266" t="s">
        <v>36</v>
      </c>
      <c r="L11" s="266" t="s">
        <v>36</v>
      </c>
      <c r="M11" s="266" t="s">
        <v>36</v>
      </c>
    </row>
    <row r="12" spans="1:32" ht="39.950000000000003" customHeight="1">
      <c r="A12" s="296">
        <f t="shared" si="0"/>
        <v>8</v>
      </c>
      <c r="B12" s="296" t="str">
        <f>DataSiswa!B15</f>
        <v>9980817812</v>
      </c>
      <c r="C12" s="297" t="str">
        <f>DataSiswa!C15</f>
        <v>Famella Putriadi</v>
      </c>
      <c r="D12" s="297" t="str">
        <f>DataSiswa!D15</f>
        <v>Perempuan</v>
      </c>
      <c r="E12" s="296" t="str">
        <f>DataSiswa!$L$9</f>
        <v>X MIA 2</v>
      </c>
      <c r="F12" s="261" t="s">
        <v>548</v>
      </c>
      <c r="G12" s="261" t="s">
        <v>612</v>
      </c>
      <c r="H12" s="261" t="s">
        <v>614</v>
      </c>
      <c r="I12" s="261" t="s">
        <v>622</v>
      </c>
      <c r="J12" s="266" t="s">
        <v>36</v>
      </c>
      <c r="K12" s="266" t="s">
        <v>36</v>
      </c>
      <c r="L12" s="266" t="s">
        <v>36</v>
      </c>
      <c r="M12" s="266" t="s">
        <v>36</v>
      </c>
    </row>
    <row r="13" spans="1:32" ht="39.950000000000003" customHeight="1">
      <c r="A13" s="296">
        <f t="shared" si="0"/>
        <v>9</v>
      </c>
      <c r="B13" s="296" t="str">
        <f>DataSiswa!B16</f>
        <v>9986349049</v>
      </c>
      <c r="C13" s="297" t="str">
        <f>DataSiswa!C16</f>
        <v>Febrawati Fajlynd</v>
      </c>
      <c r="D13" s="297" t="str">
        <f>DataSiswa!D16</f>
        <v>Perempuan</v>
      </c>
      <c r="E13" s="296" t="str">
        <f>DataSiswa!$L$9</f>
        <v>X MIA 2</v>
      </c>
      <c r="F13" s="261" t="s">
        <v>548</v>
      </c>
      <c r="G13" s="261" t="s">
        <v>612</v>
      </c>
      <c r="H13" s="266" t="s">
        <v>36</v>
      </c>
      <c r="I13" s="266" t="s">
        <v>36</v>
      </c>
      <c r="J13" s="266" t="s">
        <v>36</v>
      </c>
      <c r="K13" s="266" t="s">
        <v>36</v>
      </c>
      <c r="L13" s="266" t="s">
        <v>36</v>
      </c>
      <c r="M13" s="266" t="s">
        <v>36</v>
      </c>
    </row>
    <row r="14" spans="1:32" ht="39.950000000000003" customHeight="1">
      <c r="A14" s="296">
        <f t="shared" si="0"/>
        <v>10</v>
      </c>
      <c r="B14" s="296" t="str">
        <f>DataSiswa!B17</f>
        <v>9980673410</v>
      </c>
      <c r="C14" s="297" t="str">
        <f>DataSiswa!C17</f>
        <v>Fierro Perdana Ibrahim</v>
      </c>
      <c r="D14" s="297" t="str">
        <f>DataSiswa!D17</f>
        <v>Laki-laki</v>
      </c>
      <c r="E14" s="296" t="str">
        <f>DataSiswa!$L$9</f>
        <v>X MIA 2</v>
      </c>
      <c r="F14" s="261" t="s">
        <v>548</v>
      </c>
      <c r="G14" s="261" t="s">
        <v>612</v>
      </c>
      <c r="H14" s="266" t="s">
        <v>36</v>
      </c>
      <c r="I14" s="266" t="s">
        <v>36</v>
      </c>
      <c r="J14" s="266" t="s">
        <v>36</v>
      </c>
      <c r="K14" s="266" t="s">
        <v>36</v>
      </c>
      <c r="L14" s="266" t="s">
        <v>36</v>
      </c>
      <c r="M14" s="266" t="s">
        <v>36</v>
      </c>
    </row>
    <row r="15" spans="1:32" ht="39.950000000000003" customHeight="1">
      <c r="A15" s="296">
        <f t="shared" si="0"/>
        <v>11</v>
      </c>
      <c r="B15" s="296" t="str">
        <f>DataSiswa!B18</f>
        <v>9980817833</v>
      </c>
      <c r="C15" s="297" t="str">
        <f>DataSiswa!C18</f>
        <v>Jihan Salsabilla</v>
      </c>
      <c r="D15" s="297" t="str">
        <f>DataSiswa!D18</f>
        <v>Perempuan</v>
      </c>
      <c r="E15" s="296" t="str">
        <f>DataSiswa!$L$9</f>
        <v>X MIA 2</v>
      </c>
      <c r="F15" s="261" t="s">
        <v>548</v>
      </c>
      <c r="G15" s="261" t="s">
        <v>612</v>
      </c>
      <c r="H15" s="266" t="s">
        <v>36</v>
      </c>
      <c r="I15" s="266" t="s">
        <v>36</v>
      </c>
      <c r="J15" s="266" t="s">
        <v>36</v>
      </c>
      <c r="K15" s="266" t="s">
        <v>36</v>
      </c>
      <c r="L15" s="266" t="s">
        <v>36</v>
      </c>
      <c r="M15" s="266" t="s">
        <v>36</v>
      </c>
    </row>
    <row r="16" spans="1:32" ht="39.950000000000003" customHeight="1">
      <c r="A16" s="296">
        <f t="shared" si="0"/>
        <v>12</v>
      </c>
      <c r="B16" s="296" t="str">
        <f>DataSiswa!B19</f>
        <v>9980065874</v>
      </c>
      <c r="C16" s="297" t="str">
        <f>DataSiswa!C19</f>
        <v>Karina Safira Rannas</v>
      </c>
      <c r="D16" s="297" t="str">
        <f>DataSiswa!D19</f>
        <v>Perempuan</v>
      </c>
      <c r="E16" s="296" t="str">
        <f>DataSiswa!$L$9</f>
        <v>X MIA 2</v>
      </c>
      <c r="F16" s="261" t="s">
        <v>548</v>
      </c>
      <c r="G16" s="261" t="s">
        <v>612</v>
      </c>
      <c r="H16" s="261" t="s">
        <v>614</v>
      </c>
      <c r="I16" s="261" t="s">
        <v>622</v>
      </c>
      <c r="J16" s="266" t="s">
        <v>36</v>
      </c>
      <c r="K16" s="266" t="s">
        <v>36</v>
      </c>
      <c r="L16" s="266" t="s">
        <v>36</v>
      </c>
      <c r="M16" s="266" t="s">
        <v>36</v>
      </c>
    </row>
    <row r="17" spans="1:13" ht="39.950000000000003" customHeight="1">
      <c r="A17" s="296">
        <f t="shared" si="0"/>
        <v>13</v>
      </c>
      <c r="B17" s="296" t="str">
        <f>DataSiswa!B20</f>
        <v>9970816998</v>
      </c>
      <c r="C17" s="297" t="str">
        <f>DataSiswa!C20</f>
        <v>Loura Oktaviola</v>
      </c>
      <c r="D17" s="297" t="str">
        <f>DataSiswa!D20</f>
        <v>Perempuan</v>
      </c>
      <c r="E17" s="296" t="str">
        <f>DataSiswa!$L$9</f>
        <v>X MIA 2</v>
      </c>
      <c r="F17" s="261" t="s">
        <v>548</v>
      </c>
      <c r="G17" s="261" t="s">
        <v>612</v>
      </c>
      <c r="H17" s="261" t="s">
        <v>613</v>
      </c>
      <c r="I17" s="261" t="s">
        <v>621</v>
      </c>
      <c r="J17" s="266" t="s">
        <v>36</v>
      </c>
      <c r="K17" s="266" t="s">
        <v>36</v>
      </c>
      <c r="L17" s="266" t="s">
        <v>36</v>
      </c>
      <c r="M17" s="266" t="s">
        <v>36</v>
      </c>
    </row>
    <row r="18" spans="1:13" ht="39.950000000000003" customHeight="1">
      <c r="A18" s="296">
        <f t="shared" si="0"/>
        <v>14</v>
      </c>
      <c r="B18" s="296" t="str">
        <f>DataSiswa!B21</f>
        <v>9982095456</v>
      </c>
      <c r="C18" s="297" t="str">
        <f>DataSiswa!C21</f>
        <v>Lauren Dwina Arini</v>
      </c>
      <c r="D18" s="297" t="str">
        <f>DataSiswa!D21</f>
        <v>Perempuan</v>
      </c>
      <c r="E18" s="296" t="str">
        <f>DataSiswa!$L$9</f>
        <v>X MIA 2</v>
      </c>
      <c r="F18" s="261" t="s">
        <v>548</v>
      </c>
      <c r="G18" s="261" t="s">
        <v>612</v>
      </c>
      <c r="H18" s="261" t="s">
        <v>615</v>
      </c>
      <c r="I18" s="261" t="s">
        <v>621</v>
      </c>
      <c r="J18" s="266" t="s">
        <v>613</v>
      </c>
      <c r="K18" s="261" t="s">
        <v>621</v>
      </c>
      <c r="L18" s="261"/>
      <c r="M18" s="263"/>
    </row>
    <row r="19" spans="1:13" ht="39.950000000000003" customHeight="1">
      <c r="A19" s="296">
        <f t="shared" si="0"/>
        <v>15</v>
      </c>
      <c r="B19" s="296" t="str">
        <f>DataSiswa!B22</f>
        <v>9980817839</v>
      </c>
      <c r="C19" s="297" t="str">
        <f>DataSiswa!C22</f>
        <v>Leoni Syagna Velia</v>
      </c>
      <c r="D19" s="297" t="str">
        <f>DataSiswa!D22</f>
        <v>Perempuan</v>
      </c>
      <c r="E19" s="296" t="str">
        <f>DataSiswa!$L$9</f>
        <v>X MIA 2</v>
      </c>
      <c r="F19" s="261" t="s">
        <v>548</v>
      </c>
      <c r="G19" s="261" t="s">
        <v>612</v>
      </c>
      <c r="H19" s="261" t="s">
        <v>613</v>
      </c>
      <c r="I19" s="261" t="s">
        <v>621</v>
      </c>
      <c r="J19" s="266" t="s">
        <v>36</v>
      </c>
      <c r="K19" s="266" t="s">
        <v>36</v>
      </c>
      <c r="L19" s="266" t="s">
        <v>36</v>
      </c>
      <c r="M19" s="266" t="s">
        <v>36</v>
      </c>
    </row>
    <row r="20" spans="1:13" ht="39.950000000000003" customHeight="1">
      <c r="A20" s="296">
        <f t="shared" si="0"/>
        <v>16</v>
      </c>
      <c r="B20" s="296" t="str">
        <f>DataSiswa!B23</f>
        <v>9982885002</v>
      </c>
      <c r="C20" s="297" t="str">
        <f>DataSiswa!C23</f>
        <v>Mia Larisa Waskito</v>
      </c>
      <c r="D20" s="297" t="str">
        <f>DataSiswa!D23</f>
        <v>Perempuan</v>
      </c>
      <c r="E20" s="296" t="str">
        <f>DataSiswa!$L$9</f>
        <v>X MIA 2</v>
      </c>
      <c r="F20" s="261" t="s">
        <v>548</v>
      </c>
      <c r="G20" s="261" t="s">
        <v>612</v>
      </c>
      <c r="H20" s="261" t="s">
        <v>616</v>
      </c>
      <c r="I20" s="261" t="s">
        <v>622</v>
      </c>
      <c r="J20" s="266" t="s">
        <v>36</v>
      </c>
      <c r="K20" s="266" t="s">
        <v>36</v>
      </c>
      <c r="L20" s="266" t="s">
        <v>36</v>
      </c>
      <c r="M20" s="266" t="s">
        <v>36</v>
      </c>
    </row>
    <row r="21" spans="1:13" ht="39.950000000000003" customHeight="1">
      <c r="A21" s="296">
        <f t="shared" si="0"/>
        <v>17</v>
      </c>
      <c r="B21" s="296" t="str">
        <f>DataSiswa!B24</f>
        <v>9983996707</v>
      </c>
      <c r="C21" s="297" t="str">
        <f>DataSiswa!C24</f>
        <v>Muhammad Fadel</v>
      </c>
      <c r="D21" s="297" t="str">
        <f>DataSiswa!D24</f>
        <v>Laki-laki</v>
      </c>
      <c r="E21" s="296" t="str">
        <f>DataSiswa!$L$9</f>
        <v>X MIA 2</v>
      </c>
      <c r="F21" s="261" t="s">
        <v>548</v>
      </c>
      <c r="G21" s="261" t="s">
        <v>612</v>
      </c>
      <c r="H21" s="261" t="s">
        <v>616</v>
      </c>
      <c r="I21" s="261" t="s">
        <v>622</v>
      </c>
      <c r="J21" s="266" t="s">
        <v>36</v>
      </c>
      <c r="K21" s="266" t="s">
        <v>36</v>
      </c>
      <c r="L21" s="266" t="s">
        <v>36</v>
      </c>
      <c r="M21" s="266" t="s">
        <v>36</v>
      </c>
    </row>
    <row r="22" spans="1:13" ht="39.950000000000003" customHeight="1">
      <c r="A22" s="296">
        <f t="shared" si="0"/>
        <v>18</v>
      </c>
      <c r="B22" s="296" t="str">
        <f>DataSiswa!B25</f>
        <v>9981328630</v>
      </c>
      <c r="C22" s="297" t="str">
        <f>DataSiswa!C25</f>
        <v>Muhammad Ilham Fajri</v>
      </c>
      <c r="D22" s="297" t="str">
        <f>DataSiswa!D25</f>
        <v>Laki-laki</v>
      </c>
      <c r="E22" s="296" t="str">
        <f>DataSiswa!$L$9</f>
        <v>X MIA 2</v>
      </c>
      <c r="F22" s="261" t="s">
        <v>548</v>
      </c>
      <c r="G22" s="261" t="s">
        <v>612</v>
      </c>
      <c r="H22" s="266" t="s">
        <v>36</v>
      </c>
      <c r="I22" s="266" t="s">
        <v>36</v>
      </c>
      <c r="J22" s="266" t="s">
        <v>36</v>
      </c>
      <c r="K22" s="266" t="s">
        <v>36</v>
      </c>
      <c r="L22" s="266" t="s">
        <v>36</v>
      </c>
      <c r="M22" s="266" t="s">
        <v>36</v>
      </c>
    </row>
    <row r="23" spans="1:13" ht="39.950000000000003" customHeight="1">
      <c r="A23" s="296">
        <f t="shared" si="0"/>
        <v>19</v>
      </c>
      <c r="B23" s="296" t="str">
        <f>DataSiswa!B26</f>
        <v>9980830799</v>
      </c>
      <c r="C23" s="297" t="str">
        <f>DataSiswa!C26</f>
        <v>Muhammad Irfan</v>
      </c>
      <c r="D23" s="297" t="str">
        <f>DataSiswa!D26</f>
        <v>Laki-laki</v>
      </c>
      <c r="E23" s="296" t="str">
        <f>DataSiswa!$L$9</f>
        <v>X MIA 2</v>
      </c>
      <c r="F23" s="261" t="s">
        <v>548</v>
      </c>
      <c r="G23" s="261" t="s">
        <v>612</v>
      </c>
      <c r="H23" s="261" t="s">
        <v>616</v>
      </c>
      <c r="I23" s="261" t="s">
        <v>622</v>
      </c>
      <c r="J23" s="266" t="s">
        <v>36</v>
      </c>
      <c r="K23" s="266" t="s">
        <v>36</v>
      </c>
      <c r="L23" s="266" t="s">
        <v>36</v>
      </c>
      <c r="M23" s="266" t="s">
        <v>36</v>
      </c>
    </row>
    <row r="24" spans="1:13" ht="39.950000000000003" customHeight="1">
      <c r="A24" s="296">
        <f t="shared" si="0"/>
        <v>20</v>
      </c>
      <c r="B24" s="296" t="str">
        <f>DataSiswa!B27</f>
        <v>9981704177</v>
      </c>
      <c r="C24" s="297" t="str">
        <f>DataSiswa!C27</f>
        <v>Naura Cantika</v>
      </c>
      <c r="D24" s="297" t="str">
        <f>DataSiswa!D27</f>
        <v>Perempuan</v>
      </c>
      <c r="E24" s="296" t="str">
        <f>DataSiswa!$L$9</f>
        <v>X MIA 2</v>
      </c>
      <c r="F24" s="261" t="s">
        <v>548</v>
      </c>
      <c r="G24" s="261" t="s">
        <v>612</v>
      </c>
      <c r="H24" s="261" t="s">
        <v>616</v>
      </c>
      <c r="I24" s="261" t="s">
        <v>622</v>
      </c>
      <c r="J24" s="266" t="s">
        <v>36</v>
      </c>
      <c r="K24" s="266" t="s">
        <v>36</v>
      </c>
      <c r="L24" s="266" t="s">
        <v>36</v>
      </c>
      <c r="M24" s="266" t="s">
        <v>36</v>
      </c>
    </row>
    <row r="25" spans="1:13" ht="39.950000000000003" customHeight="1">
      <c r="A25" s="296">
        <f t="shared" si="0"/>
        <v>21</v>
      </c>
      <c r="B25" s="296" t="str">
        <f>DataSiswa!B28</f>
        <v>9980810523</v>
      </c>
      <c r="C25" s="297" t="str">
        <f>DataSiswa!C28</f>
        <v>Nurul Putri Salsabila</v>
      </c>
      <c r="D25" s="297" t="str">
        <f>DataSiswa!D28</f>
        <v>Perempuan</v>
      </c>
      <c r="E25" s="296" t="str">
        <f>DataSiswa!$L$9</f>
        <v>X MIA 2</v>
      </c>
      <c r="F25" s="261" t="s">
        <v>548</v>
      </c>
      <c r="G25" s="261" t="s">
        <v>612</v>
      </c>
      <c r="H25" s="266" t="s">
        <v>36</v>
      </c>
      <c r="I25" s="266" t="s">
        <v>36</v>
      </c>
      <c r="J25" s="266" t="s">
        <v>36</v>
      </c>
      <c r="K25" s="266" t="s">
        <v>36</v>
      </c>
      <c r="L25" s="266" t="s">
        <v>36</v>
      </c>
      <c r="M25" s="266" t="s">
        <v>36</v>
      </c>
    </row>
    <row r="26" spans="1:13" ht="39.950000000000003" customHeight="1">
      <c r="A26" s="296">
        <f t="shared" si="0"/>
        <v>22</v>
      </c>
      <c r="B26" s="296" t="str">
        <f>DataSiswa!B29</f>
        <v>9998982066</v>
      </c>
      <c r="C26" s="297" t="str">
        <f>DataSiswa!C29</f>
        <v>Rafi Fikriya Riza</v>
      </c>
      <c r="D26" s="297" t="str">
        <f>DataSiswa!D29</f>
        <v>Laki-laki</v>
      </c>
      <c r="E26" s="296" t="str">
        <f>DataSiswa!$L$9</f>
        <v>X MIA 2</v>
      </c>
      <c r="F26" s="261" t="s">
        <v>548</v>
      </c>
      <c r="G26" s="261" t="s">
        <v>612</v>
      </c>
      <c r="H26" s="261" t="s">
        <v>616</v>
      </c>
      <c r="I26" s="261" t="s">
        <v>621</v>
      </c>
      <c r="J26" s="266" t="s">
        <v>36</v>
      </c>
      <c r="K26" s="266" t="s">
        <v>36</v>
      </c>
      <c r="L26" s="266" t="s">
        <v>36</v>
      </c>
      <c r="M26" s="266" t="s">
        <v>36</v>
      </c>
    </row>
    <row r="27" spans="1:13" ht="39.950000000000003" customHeight="1">
      <c r="A27" s="296">
        <f t="shared" si="0"/>
        <v>23</v>
      </c>
      <c r="B27" s="296" t="str">
        <f>DataSiswa!B30</f>
        <v>9985967994</v>
      </c>
      <c r="C27" s="297" t="str">
        <f>DataSiswa!C30</f>
        <v>Restu Tria Bahri</v>
      </c>
      <c r="D27" s="297" t="str">
        <f>DataSiswa!D30</f>
        <v>Perempuan</v>
      </c>
      <c r="E27" s="296" t="str">
        <f>DataSiswa!$L$9</f>
        <v>X MIA 2</v>
      </c>
      <c r="F27" s="261" t="s">
        <v>548</v>
      </c>
      <c r="G27" s="261" t="s">
        <v>612</v>
      </c>
      <c r="H27" s="261" t="s">
        <v>617</v>
      </c>
      <c r="I27" s="261" t="s">
        <v>621</v>
      </c>
      <c r="J27" s="266" t="s">
        <v>36</v>
      </c>
      <c r="K27" s="266" t="s">
        <v>36</v>
      </c>
      <c r="L27" s="266" t="s">
        <v>36</v>
      </c>
      <c r="M27" s="266" t="s">
        <v>36</v>
      </c>
    </row>
    <row r="28" spans="1:13" ht="39.950000000000003" customHeight="1">
      <c r="A28" s="296">
        <f t="shared" si="0"/>
        <v>24</v>
      </c>
      <c r="B28" s="296" t="str">
        <f>DataSiswa!B31</f>
        <v>9980799351</v>
      </c>
      <c r="C28" s="297" t="str">
        <f>DataSiswa!C31</f>
        <v>Rifka Esofita</v>
      </c>
      <c r="D28" s="297" t="str">
        <f>DataSiswa!D31</f>
        <v>Perempuan</v>
      </c>
      <c r="E28" s="296" t="str">
        <f>DataSiswa!$L$9</f>
        <v>X MIA 2</v>
      </c>
      <c r="F28" s="261" t="s">
        <v>548</v>
      </c>
      <c r="G28" s="261" t="s">
        <v>612</v>
      </c>
      <c r="H28" s="261" t="s">
        <v>618</v>
      </c>
      <c r="I28" s="261" t="s">
        <v>621</v>
      </c>
      <c r="J28" s="266" t="s">
        <v>620</v>
      </c>
      <c r="K28" s="261" t="s">
        <v>621</v>
      </c>
      <c r="L28" s="266" t="s">
        <v>36</v>
      </c>
      <c r="M28" s="266" t="s">
        <v>36</v>
      </c>
    </row>
    <row r="29" spans="1:13" ht="39.950000000000003" customHeight="1">
      <c r="A29" s="296">
        <f t="shared" si="0"/>
        <v>25</v>
      </c>
      <c r="B29" s="296" t="str">
        <f>DataSiswa!B32</f>
        <v>9982095495</v>
      </c>
      <c r="C29" s="297" t="str">
        <f>DataSiswa!C32</f>
        <v>Rifo Ranofan</v>
      </c>
      <c r="D29" s="297" t="str">
        <f>DataSiswa!D32</f>
        <v>Laki-laki</v>
      </c>
      <c r="E29" s="296" t="str">
        <f>DataSiswa!$L$9</f>
        <v>X MIA 2</v>
      </c>
      <c r="F29" s="261" t="s">
        <v>548</v>
      </c>
      <c r="G29" s="261" t="s">
        <v>612</v>
      </c>
      <c r="H29" s="266" t="s">
        <v>36</v>
      </c>
      <c r="I29" s="266" t="s">
        <v>36</v>
      </c>
      <c r="J29" s="266" t="s">
        <v>36</v>
      </c>
      <c r="K29" s="266" t="s">
        <v>36</v>
      </c>
      <c r="L29" s="266" t="s">
        <v>36</v>
      </c>
      <c r="M29" s="266" t="s">
        <v>36</v>
      </c>
    </row>
    <row r="30" spans="1:13" ht="39.950000000000003" customHeight="1">
      <c r="A30" s="296">
        <f t="shared" si="0"/>
        <v>26</v>
      </c>
      <c r="B30" s="296" t="str">
        <f>DataSiswa!B33</f>
        <v>9985858026</v>
      </c>
      <c r="C30" s="297" t="str">
        <f>DataSiswa!C33</f>
        <v>Stephany Widyanti</v>
      </c>
      <c r="D30" s="297" t="str">
        <f>DataSiswa!D33</f>
        <v>Perempuan</v>
      </c>
      <c r="E30" s="296" t="str">
        <f>DataSiswa!$L$9</f>
        <v>X MIA 2</v>
      </c>
      <c r="F30" s="261" t="s">
        <v>548</v>
      </c>
      <c r="G30" s="261" t="s">
        <v>612</v>
      </c>
      <c r="H30" s="261" t="s">
        <v>619</v>
      </c>
      <c r="I30" s="261" t="s">
        <v>621</v>
      </c>
      <c r="J30" s="266" t="s">
        <v>618</v>
      </c>
      <c r="K30" s="261" t="s">
        <v>622</v>
      </c>
      <c r="L30" s="266" t="s">
        <v>36</v>
      </c>
      <c r="M30" s="266" t="s">
        <v>36</v>
      </c>
    </row>
    <row r="31" spans="1:13" ht="39.950000000000003" customHeight="1">
      <c r="A31" s="296">
        <f t="shared" si="0"/>
        <v>27</v>
      </c>
      <c r="B31" s="296" t="str">
        <f>DataSiswa!B34</f>
        <v>9980818512</v>
      </c>
      <c r="C31" s="297" t="str">
        <f>DataSiswa!C34</f>
        <v>Tiara Yulianti</v>
      </c>
      <c r="D31" s="297" t="str">
        <f>DataSiswa!D34</f>
        <v>Perempuan</v>
      </c>
      <c r="E31" s="296" t="str">
        <f>DataSiswa!$L$9</f>
        <v>X MIA 2</v>
      </c>
      <c r="F31" s="261" t="s">
        <v>548</v>
      </c>
      <c r="G31" s="261" t="s">
        <v>612</v>
      </c>
      <c r="H31" s="266" t="s">
        <v>36</v>
      </c>
      <c r="I31" s="266" t="s">
        <v>36</v>
      </c>
      <c r="J31" s="266" t="s">
        <v>36</v>
      </c>
      <c r="K31" s="266" t="s">
        <v>36</v>
      </c>
      <c r="L31" s="266" t="s">
        <v>36</v>
      </c>
      <c r="M31" s="266" t="s">
        <v>36</v>
      </c>
    </row>
    <row r="32" spans="1:13" ht="39.950000000000003" customHeight="1">
      <c r="A32" s="296">
        <f t="shared" si="0"/>
        <v>28</v>
      </c>
      <c r="B32" s="296" t="str">
        <f>DataSiswa!B35</f>
        <v>9982393794</v>
      </c>
      <c r="C32" s="297" t="str">
        <f>DataSiswa!C35</f>
        <v>Tika Wandira</v>
      </c>
      <c r="D32" s="297" t="str">
        <f>DataSiswa!D35</f>
        <v>Perempuan</v>
      </c>
      <c r="E32" s="296" t="str">
        <f>DataSiswa!$L$9</f>
        <v>X MIA 2</v>
      </c>
      <c r="F32" s="261" t="s">
        <v>548</v>
      </c>
      <c r="G32" s="261" t="s">
        <v>612</v>
      </c>
      <c r="H32" s="261" t="s">
        <v>613</v>
      </c>
      <c r="I32" s="261" t="s">
        <v>621</v>
      </c>
      <c r="J32" s="266" t="s">
        <v>36</v>
      </c>
      <c r="K32" s="266" t="s">
        <v>36</v>
      </c>
      <c r="L32" s="266" t="s">
        <v>36</v>
      </c>
      <c r="M32" s="266" t="s">
        <v>36</v>
      </c>
    </row>
    <row r="33" spans="1:13" ht="39.950000000000003" customHeight="1">
      <c r="A33" s="296">
        <f t="shared" si="0"/>
        <v>29</v>
      </c>
      <c r="B33" s="296" t="str">
        <f>DataSiswa!B36</f>
        <v>9980818720</v>
      </c>
      <c r="C33" s="297" t="str">
        <f>DataSiswa!C36</f>
        <v>Ulfa Febriyani</v>
      </c>
      <c r="D33" s="297" t="str">
        <f>DataSiswa!D36</f>
        <v>Perempuan</v>
      </c>
      <c r="E33" s="296" t="str">
        <f>DataSiswa!$L$9</f>
        <v>X MIA 2</v>
      </c>
      <c r="F33" s="261" t="s">
        <v>548</v>
      </c>
      <c r="G33" s="261" t="s">
        <v>612</v>
      </c>
      <c r="H33" s="261" t="s">
        <v>619</v>
      </c>
      <c r="I33" s="261" t="s">
        <v>621</v>
      </c>
      <c r="J33" s="266" t="s">
        <v>36</v>
      </c>
      <c r="K33" s="266" t="s">
        <v>36</v>
      </c>
      <c r="L33" s="266" t="s">
        <v>36</v>
      </c>
      <c r="M33" s="266" t="s">
        <v>36</v>
      </c>
    </row>
    <row r="34" spans="1:13" ht="39.950000000000003" customHeight="1">
      <c r="A34" s="296">
        <f t="shared" si="0"/>
        <v>30</v>
      </c>
      <c r="B34" s="296" t="str">
        <f>DataSiswa!B37</f>
        <v>9990756408</v>
      </c>
      <c r="C34" s="297" t="str">
        <f>DataSiswa!C37</f>
        <v>Valdy Filando Sardi</v>
      </c>
      <c r="D34" s="297" t="str">
        <f>DataSiswa!D37</f>
        <v>Laki-laki</v>
      </c>
      <c r="E34" s="296" t="str">
        <f>DataSiswa!$L$9</f>
        <v>X MIA 2</v>
      </c>
      <c r="F34" s="261" t="s">
        <v>548</v>
      </c>
      <c r="G34" s="261" t="s">
        <v>612</v>
      </c>
      <c r="H34" s="261" t="s">
        <v>616</v>
      </c>
      <c r="I34" s="261" t="s">
        <v>621</v>
      </c>
      <c r="J34" s="266" t="s">
        <v>36</v>
      </c>
      <c r="K34" s="266" t="s">
        <v>36</v>
      </c>
      <c r="L34" s="266" t="s">
        <v>36</v>
      </c>
      <c r="M34" s="266" t="s">
        <v>36</v>
      </c>
    </row>
    <row r="35" spans="1:13" ht="39.950000000000003" customHeight="1">
      <c r="A35" s="296">
        <f t="shared" si="0"/>
        <v>31</v>
      </c>
      <c r="B35" s="296" t="str">
        <f>DataSiswa!B38</f>
        <v>9980816670</v>
      </c>
      <c r="C35" s="297" t="str">
        <f>DataSiswa!C38</f>
        <v>Vonny Maitaveri</v>
      </c>
      <c r="D35" s="297" t="str">
        <f>DataSiswa!D38</f>
        <v>Perempuan</v>
      </c>
      <c r="E35" s="296" t="str">
        <f>DataSiswa!$L$9</f>
        <v>X MIA 2</v>
      </c>
      <c r="F35" s="261" t="s">
        <v>548</v>
      </c>
      <c r="G35" s="261" t="s">
        <v>612</v>
      </c>
      <c r="H35" s="261" t="s">
        <v>613</v>
      </c>
      <c r="I35" s="261" t="s">
        <v>621</v>
      </c>
      <c r="J35" s="266" t="s">
        <v>36</v>
      </c>
      <c r="K35" s="266" t="s">
        <v>36</v>
      </c>
      <c r="L35" s="266" t="s">
        <v>36</v>
      </c>
      <c r="M35" s="266" t="s">
        <v>36</v>
      </c>
    </row>
    <row r="36" spans="1:13" ht="39.950000000000003" customHeight="1">
      <c r="A36" s="296">
        <f t="shared" si="0"/>
        <v>32</v>
      </c>
      <c r="B36" s="296" t="str">
        <f>DataSiswa!B39</f>
        <v>9982889268</v>
      </c>
      <c r="C36" s="297" t="str">
        <f>DataSiswa!C39</f>
        <v>Wahyu Yolanda</v>
      </c>
      <c r="D36" s="297" t="str">
        <f>DataSiswa!D39</f>
        <v>Perempuan</v>
      </c>
      <c r="E36" s="296" t="str">
        <f>DataSiswa!$L$9</f>
        <v>X MIA 2</v>
      </c>
      <c r="F36" s="261" t="s">
        <v>548</v>
      </c>
      <c r="G36" s="261" t="s">
        <v>612</v>
      </c>
      <c r="H36" s="266" t="s">
        <v>36</v>
      </c>
      <c r="I36" s="266" t="s">
        <v>36</v>
      </c>
      <c r="J36" s="266" t="s">
        <v>36</v>
      </c>
      <c r="K36" s="266" t="s">
        <v>36</v>
      </c>
      <c r="L36" s="266" t="s">
        <v>36</v>
      </c>
      <c r="M36" s="266" t="s">
        <v>36</v>
      </c>
    </row>
    <row r="37" spans="1:13" ht="39.950000000000003" customHeight="1">
      <c r="A37" s="296">
        <f t="shared" si="0"/>
        <v>33</v>
      </c>
      <c r="B37" s="296">
        <f>DataSiswa!B40</f>
        <v>0</v>
      </c>
      <c r="C37" s="297">
        <f>DataSiswa!C40</f>
        <v>0</v>
      </c>
      <c r="D37" s="297">
        <f>DataSiswa!D40</f>
        <v>0</v>
      </c>
      <c r="E37" s="296" t="str">
        <f>DataSiswa!$L$9</f>
        <v>X MIA 2</v>
      </c>
      <c r="F37" s="261"/>
      <c r="G37" s="263"/>
      <c r="H37" s="261"/>
      <c r="I37" s="262"/>
      <c r="J37" s="261"/>
      <c r="K37" s="262"/>
      <c r="L37" s="261"/>
      <c r="M37" s="263"/>
    </row>
    <row r="38" spans="1:13" ht="39.950000000000003" customHeight="1">
      <c r="A38" s="296">
        <f t="shared" si="0"/>
        <v>34</v>
      </c>
      <c r="B38" s="296">
        <f>DataSiswa!B41</f>
        <v>0</v>
      </c>
      <c r="C38" s="297">
        <f>DataSiswa!C41</f>
        <v>0</v>
      </c>
      <c r="D38" s="297">
        <f>DataSiswa!D41</f>
        <v>0</v>
      </c>
      <c r="E38" s="296" t="str">
        <f>DataSiswa!$L$9</f>
        <v>X MIA 2</v>
      </c>
      <c r="F38" s="261"/>
      <c r="G38" s="263"/>
      <c r="H38" s="261"/>
      <c r="I38" s="262"/>
      <c r="J38" s="261"/>
      <c r="K38" s="262"/>
      <c r="L38" s="261"/>
      <c r="M38" s="263"/>
    </row>
    <row r="39" spans="1:13" ht="39.950000000000003" customHeight="1">
      <c r="A39" s="296">
        <f t="shared" si="0"/>
        <v>35</v>
      </c>
      <c r="B39" s="296">
        <f>DataSiswa!B42</f>
        <v>0</v>
      </c>
      <c r="C39" s="297">
        <f>DataSiswa!C42</f>
        <v>0</v>
      </c>
      <c r="D39" s="297">
        <f>DataSiswa!D42</f>
        <v>0</v>
      </c>
      <c r="E39" s="296" t="str">
        <f>DataSiswa!$L$9</f>
        <v>X MIA 2</v>
      </c>
      <c r="F39" s="261"/>
      <c r="G39" s="263"/>
      <c r="H39" s="261"/>
      <c r="I39" s="262"/>
      <c r="J39" s="261"/>
      <c r="K39" s="262"/>
      <c r="L39" s="261"/>
      <c r="M39" s="263"/>
    </row>
    <row r="40" spans="1:13" ht="39.950000000000003" customHeight="1">
      <c r="A40" s="296">
        <f>+SUM(A39+1)</f>
        <v>36</v>
      </c>
      <c r="B40" s="296">
        <f>DataSiswa!B43</f>
        <v>0</v>
      </c>
      <c r="C40" s="297">
        <f>DataSiswa!C43</f>
        <v>0</v>
      </c>
      <c r="D40" s="297">
        <f>DataSiswa!D43</f>
        <v>0</v>
      </c>
      <c r="E40" s="296" t="str">
        <f>DataSiswa!$L$9</f>
        <v>X MIA 2</v>
      </c>
      <c r="F40" s="261"/>
      <c r="G40" s="263"/>
      <c r="H40" s="261"/>
      <c r="I40" s="262"/>
      <c r="J40" s="261"/>
      <c r="K40" s="262"/>
      <c r="L40" s="261"/>
      <c r="M40" s="263"/>
    </row>
    <row r="41" spans="1:13" ht="39.950000000000003" customHeight="1">
      <c r="A41" s="296">
        <f>+SUM(A40+1)</f>
        <v>37</v>
      </c>
      <c r="B41" s="296">
        <f>DataSiswa!B44</f>
        <v>0</v>
      </c>
      <c r="C41" s="297">
        <f>DataSiswa!C44</f>
        <v>0</v>
      </c>
      <c r="D41" s="297">
        <f>DataSiswa!D44</f>
        <v>0</v>
      </c>
      <c r="E41" s="296" t="str">
        <f>DataSiswa!$L$9</f>
        <v>X MIA 2</v>
      </c>
      <c r="F41" s="261"/>
      <c r="G41" s="263"/>
      <c r="H41" s="261"/>
      <c r="I41" s="262"/>
      <c r="J41" s="261"/>
      <c r="K41" s="262"/>
      <c r="L41" s="261"/>
      <c r="M41" s="263"/>
    </row>
    <row r="42" spans="1:13" ht="39.950000000000003" customHeight="1">
      <c r="A42" s="296">
        <f>+SUM(A41+1)</f>
        <v>38</v>
      </c>
      <c r="B42" s="296">
        <f>DataSiswa!B45</f>
        <v>0</v>
      </c>
      <c r="C42" s="297">
        <f>DataSiswa!C45</f>
        <v>0</v>
      </c>
      <c r="D42" s="297">
        <f>DataSiswa!D45</f>
        <v>0</v>
      </c>
      <c r="E42" s="296" t="str">
        <f>DataSiswa!$L$9</f>
        <v>X MIA 2</v>
      </c>
      <c r="F42" s="261"/>
      <c r="G42" s="263"/>
      <c r="H42" s="261"/>
      <c r="I42" s="262"/>
      <c r="J42" s="261"/>
      <c r="K42" s="262"/>
      <c r="L42" s="261"/>
      <c r="M42" s="263"/>
    </row>
    <row r="43" spans="1:13" ht="39.950000000000003" customHeight="1">
      <c r="A43" s="296">
        <f>+SUM(A42+1)</f>
        <v>39</v>
      </c>
      <c r="B43" s="296">
        <f>DataSiswa!B46</f>
        <v>0</v>
      </c>
      <c r="C43" s="297">
        <f>DataSiswa!C46</f>
        <v>0</v>
      </c>
      <c r="D43" s="297">
        <f>DataSiswa!D46</f>
        <v>0</v>
      </c>
      <c r="E43" s="296" t="str">
        <f>DataSiswa!$L$9</f>
        <v>X MIA 2</v>
      </c>
      <c r="F43" s="261"/>
      <c r="G43" s="263"/>
      <c r="H43" s="261"/>
      <c r="I43" s="262"/>
      <c r="J43" s="261"/>
      <c r="K43" s="262"/>
      <c r="L43" s="261"/>
      <c r="M43" s="263"/>
    </row>
    <row r="44" spans="1:13" ht="39.950000000000003" customHeight="1">
      <c r="A44" s="296">
        <f>+SUM(A43+1)</f>
        <v>40</v>
      </c>
      <c r="B44" s="296">
        <f>DataSiswa!B47</f>
        <v>0</v>
      </c>
      <c r="C44" s="297">
        <f>DataSiswa!C47</f>
        <v>0</v>
      </c>
      <c r="D44" s="297">
        <f>DataSiswa!D47</f>
        <v>0</v>
      </c>
      <c r="E44" s="296" t="str">
        <f>DataSiswa!$L$9</f>
        <v>X MIA 2</v>
      </c>
      <c r="F44" s="261"/>
      <c r="G44" s="263"/>
      <c r="H44" s="261"/>
      <c r="I44" s="262"/>
      <c r="J44" s="261"/>
      <c r="K44" s="262"/>
      <c r="L44" s="261"/>
      <c r="M44" s="263"/>
    </row>
    <row r="45" spans="1:13">
      <c r="M45" s="125"/>
    </row>
    <row r="46" spans="1:13"/>
    <row r="47" spans="1:13" hidden="1">
      <c r="A47" s="126"/>
    </row>
    <row r="48" spans="1:13" hidden="1">
      <c r="A48" s="126"/>
    </row>
    <row r="49" spans="1:1" hidden="1">
      <c r="A49" s="126"/>
    </row>
    <row r="50" spans="1:1" hidden="1">
      <c r="A50" s="126"/>
    </row>
    <row r="51" spans="1:1" hidden="1">
      <c r="A51" s="126"/>
    </row>
    <row r="52" spans="1:1" hidden="1">
      <c r="A52" s="126"/>
    </row>
    <row r="53" spans="1:1" hidden="1">
      <c r="A53" s="126"/>
    </row>
    <row r="54" spans="1:1" hidden="1">
      <c r="A54" s="126"/>
    </row>
    <row r="55" spans="1:1" hidden="1">
      <c r="A55" s="126"/>
    </row>
  </sheetData>
  <mergeCells count="7">
    <mergeCell ref="A1:M2"/>
    <mergeCell ref="A3:A4"/>
    <mergeCell ref="B3:B4"/>
    <mergeCell ref="C3:C4"/>
    <mergeCell ref="D3:D4"/>
    <mergeCell ref="E3:E4"/>
    <mergeCell ref="F3:M3"/>
  </mergeCells>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C107"/>
  <sheetViews>
    <sheetView workbookViewId="0">
      <selection activeCell="C3" sqref="C3"/>
    </sheetView>
  </sheetViews>
  <sheetFormatPr defaultColWidth="0" defaultRowHeight="16.5" customHeight="1" zeroHeight="1"/>
  <cols>
    <col min="1" max="1" width="5.5703125" style="7" customWidth="1"/>
    <col min="2" max="2" width="10.28515625" style="7" customWidth="1"/>
    <col min="3" max="3" width="42.140625" style="7" customWidth="1"/>
    <col min="4" max="4" width="10.28515625" style="7" customWidth="1"/>
    <col min="5" max="16384" width="0" style="7" hidden="1"/>
  </cols>
  <sheetData>
    <row r="1" spans="2:3"/>
    <row r="2" spans="2:3"/>
    <row r="3" spans="2:3"/>
    <row r="4" spans="2:3" ht="48.75" customHeight="1">
      <c r="B4" s="10" t="s">
        <v>65</v>
      </c>
      <c r="C4" s="11" t="s">
        <v>66</v>
      </c>
    </row>
    <row r="5" spans="2:3">
      <c r="B5" s="12">
        <v>1</v>
      </c>
      <c r="C5" s="13" t="s">
        <v>67</v>
      </c>
    </row>
    <row r="6" spans="2:3">
      <c r="B6" s="12">
        <f>+SUM(B5+1)</f>
        <v>2</v>
      </c>
      <c r="C6" s="13" t="s">
        <v>68</v>
      </c>
    </row>
    <row r="7" spans="2:3">
      <c r="B7" s="12">
        <f t="shared" ref="B7:B70" si="0">+SUM(B6+1)</f>
        <v>3</v>
      </c>
      <c r="C7" s="13" t="s">
        <v>69</v>
      </c>
    </row>
    <row r="8" spans="2:3">
      <c r="B8" s="12">
        <f t="shared" si="0"/>
        <v>4</v>
      </c>
      <c r="C8" s="13" t="s">
        <v>70</v>
      </c>
    </row>
    <row r="9" spans="2:3">
      <c r="B9" s="12">
        <f t="shared" si="0"/>
        <v>5</v>
      </c>
      <c r="C9" s="13" t="s">
        <v>71</v>
      </c>
    </row>
    <row r="10" spans="2:3">
      <c r="B10" s="12">
        <f t="shared" si="0"/>
        <v>6</v>
      </c>
      <c r="C10" s="13" t="s">
        <v>72</v>
      </c>
    </row>
    <row r="11" spans="2:3">
      <c r="B11" s="12">
        <f t="shared" si="0"/>
        <v>7</v>
      </c>
      <c r="C11" s="13" t="s">
        <v>73</v>
      </c>
    </row>
    <row r="12" spans="2:3">
      <c r="B12" s="12">
        <f t="shared" si="0"/>
        <v>8</v>
      </c>
      <c r="C12" s="13" t="s">
        <v>74</v>
      </c>
    </row>
    <row r="13" spans="2:3">
      <c r="B13" s="12">
        <f t="shared" si="0"/>
        <v>9</v>
      </c>
      <c r="C13" s="13" t="s">
        <v>75</v>
      </c>
    </row>
    <row r="14" spans="2:3">
      <c r="B14" s="12">
        <f t="shared" si="0"/>
        <v>10</v>
      </c>
      <c r="C14" s="13" t="s">
        <v>76</v>
      </c>
    </row>
    <row r="15" spans="2:3">
      <c r="B15" s="12">
        <f t="shared" si="0"/>
        <v>11</v>
      </c>
      <c r="C15" s="13" t="s">
        <v>77</v>
      </c>
    </row>
    <row r="16" spans="2:3">
      <c r="B16" s="12">
        <f t="shared" si="0"/>
        <v>12</v>
      </c>
      <c r="C16" s="13" t="s">
        <v>78</v>
      </c>
    </row>
    <row r="17" spans="2:3">
      <c r="B17" s="12">
        <f t="shared" si="0"/>
        <v>13</v>
      </c>
      <c r="C17" s="13" t="s">
        <v>79</v>
      </c>
    </row>
    <row r="18" spans="2:3">
      <c r="B18" s="12">
        <f t="shared" si="0"/>
        <v>14</v>
      </c>
      <c r="C18" s="13" t="s">
        <v>80</v>
      </c>
    </row>
    <row r="19" spans="2:3">
      <c r="B19" s="12">
        <f t="shared" si="0"/>
        <v>15</v>
      </c>
      <c r="C19" s="13" t="s">
        <v>81</v>
      </c>
    </row>
    <row r="20" spans="2:3">
      <c r="B20" s="12">
        <f t="shared" si="0"/>
        <v>16</v>
      </c>
      <c r="C20" s="13" t="s">
        <v>82</v>
      </c>
    </row>
    <row r="21" spans="2:3">
      <c r="B21" s="12">
        <f t="shared" si="0"/>
        <v>17</v>
      </c>
      <c r="C21" s="13" t="s">
        <v>83</v>
      </c>
    </row>
    <row r="22" spans="2:3">
      <c r="B22" s="12">
        <f t="shared" si="0"/>
        <v>18</v>
      </c>
      <c r="C22" s="13" t="s">
        <v>84</v>
      </c>
    </row>
    <row r="23" spans="2:3">
      <c r="B23" s="12">
        <f t="shared" si="0"/>
        <v>19</v>
      </c>
      <c r="C23" s="13" t="s">
        <v>85</v>
      </c>
    </row>
    <row r="24" spans="2:3">
      <c r="B24" s="12">
        <f t="shared" si="0"/>
        <v>20</v>
      </c>
      <c r="C24" s="13" t="s">
        <v>86</v>
      </c>
    </row>
    <row r="25" spans="2:3">
      <c r="B25" s="12">
        <f t="shared" si="0"/>
        <v>21</v>
      </c>
      <c r="C25" s="13" t="s">
        <v>87</v>
      </c>
    </row>
    <row r="26" spans="2:3">
      <c r="B26" s="12">
        <f t="shared" si="0"/>
        <v>22</v>
      </c>
      <c r="C26" s="13" t="s">
        <v>88</v>
      </c>
    </row>
    <row r="27" spans="2:3">
      <c r="B27" s="12">
        <f t="shared" si="0"/>
        <v>23</v>
      </c>
      <c r="C27" s="13" t="s">
        <v>89</v>
      </c>
    </row>
    <row r="28" spans="2:3">
      <c r="B28" s="12">
        <f t="shared" si="0"/>
        <v>24</v>
      </c>
      <c r="C28" s="13" t="s">
        <v>90</v>
      </c>
    </row>
    <row r="29" spans="2:3">
      <c r="B29" s="12">
        <f t="shared" si="0"/>
        <v>25</v>
      </c>
      <c r="C29" s="13" t="s">
        <v>91</v>
      </c>
    </row>
    <row r="30" spans="2:3">
      <c r="B30" s="12">
        <f t="shared" si="0"/>
        <v>26</v>
      </c>
      <c r="C30" s="13" t="s">
        <v>92</v>
      </c>
    </row>
    <row r="31" spans="2:3">
      <c r="B31" s="12">
        <f t="shared" si="0"/>
        <v>27</v>
      </c>
      <c r="C31" s="13" t="s">
        <v>93</v>
      </c>
    </row>
    <row r="32" spans="2:3">
      <c r="B32" s="12">
        <f t="shared" si="0"/>
        <v>28</v>
      </c>
      <c r="C32" s="13" t="s">
        <v>94</v>
      </c>
    </row>
    <row r="33" spans="2:3">
      <c r="B33" s="12">
        <f t="shared" si="0"/>
        <v>29</v>
      </c>
      <c r="C33" s="13" t="s">
        <v>95</v>
      </c>
    </row>
    <row r="34" spans="2:3">
      <c r="B34" s="12">
        <f t="shared" si="0"/>
        <v>30</v>
      </c>
      <c r="C34" s="13" t="s">
        <v>96</v>
      </c>
    </row>
    <row r="35" spans="2:3">
      <c r="B35" s="12">
        <f t="shared" si="0"/>
        <v>31</v>
      </c>
      <c r="C35" s="13" t="s">
        <v>97</v>
      </c>
    </row>
    <row r="36" spans="2:3">
      <c r="B36" s="12">
        <f t="shared" si="0"/>
        <v>32</v>
      </c>
      <c r="C36" s="13" t="s">
        <v>98</v>
      </c>
    </row>
    <row r="37" spans="2:3">
      <c r="B37" s="12">
        <f t="shared" si="0"/>
        <v>33</v>
      </c>
      <c r="C37" s="13" t="s">
        <v>69</v>
      </c>
    </row>
    <row r="38" spans="2:3">
      <c r="B38" s="12">
        <f t="shared" si="0"/>
        <v>34</v>
      </c>
      <c r="C38" s="13" t="s">
        <v>98</v>
      </c>
    </row>
    <row r="39" spans="2:3">
      <c r="B39" s="12">
        <f t="shared" si="0"/>
        <v>35</v>
      </c>
      <c r="C39" s="13" t="s">
        <v>69</v>
      </c>
    </row>
    <row r="40" spans="2:3">
      <c r="B40" s="12">
        <f t="shared" si="0"/>
        <v>36</v>
      </c>
      <c r="C40" s="13" t="s">
        <v>99</v>
      </c>
    </row>
    <row r="41" spans="2:3">
      <c r="B41" s="12">
        <f t="shared" si="0"/>
        <v>37</v>
      </c>
      <c r="C41" s="13" t="s">
        <v>100</v>
      </c>
    </row>
    <row r="42" spans="2:3">
      <c r="B42" s="12">
        <f t="shared" si="0"/>
        <v>38</v>
      </c>
      <c r="C42" s="13" t="s">
        <v>101</v>
      </c>
    </row>
    <row r="43" spans="2:3">
      <c r="B43" s="12">
        <f t="shared" si="0"/>
        <v>39</v>
      </c>
      <c r="C43" s="13" t="s">
        <v>102</v>
      </c>
    </row>
    <row r="44" spans="2:3">
      <c r="B44" s="12">
        <f t="shared" si="0"/>
        <v>40</v>
      </c>
      <c r="C44" s="13" t="s">
        <v>70</v>
      </c>
    </row>
    <row r="45" spans="2:3">
      <c r="B45" s="12">
        <f t="shared" si="0"/>
        <v>41</v>
      </c>
      <c r="C45" s="13" t="s">
        <v>103</v>
      </c>
    </row>
    <row r="46" spans="2:3">
      <c r="B46" s="12">
        <f t="shared" si="0"/>
        <v>42</v>
      </c>
      <c r="C46" s="13" t="s">
        <v>104</v>
      </c>
    </row>
    <row r="47" spans="2:3">
      <c r="B47" s="12">
        <f t="shared" si="0"/>
        <v>43</v>
      </c>
      <c r="C47" s="13" t="s">
        <v>105</v>
      </c>
    </row>
    <row r="48" spans="2:3">
      <c r="B48" s="12">
        <f t="shared" si="0"/>
        <v>44</v>
      </c>
      <c r="C48" s="13" t="s">
        <v>106</v>
      </c>
    </row>
    <row r="49" spans="2:3">
      <c r="B49" s="12">
        <f t="shared" si="0"/>
        <v>45</v>
      </c>
      <c r="C49" s="13" t="s">
        <v>107</v>
      </c>
    </row>
    <row r="50" spans="2:3">
      <c r="B50" s="12">
        <f t="shared" si="0"/>
        <v>46</v>
      </c>
      <c r="C50" s="13" t="s">
        <v>108</v>
      </c>
    </row>
    <row r="51" spans="2:3">
      <c r="B51" s="12">
        <f t="shared" si="0"/>
        <v>47</v>
      </c>
      <c r="C51" s="13" t="s">
        <v>109</v>
      </c>
    </row>
    <row r="52" spans="2:3">
      <c r="B52" s="12">
        <f t="shared" si="0"/>
        <v>48</v>
      </c>
      <c r="C52" s="13" t="s">
        <v>110</v>
      </c>
    </row>
    <row r="53" spans="2:3">
      <c r="B53" s="12">
        <f t="shared" si="0"/>
        <v>49</v>
      </c>
      <c r="C53" s="13" t="s">
        <v>111</v>
      </c>
    </row>
    <row r="54" spans="2:3">
      <c r="B54" s="12">
        <f t="shared" si="0"/>
        <v>50</v>
      </c>
      <c r="C54" s="13" t="s">
        <v>112</v>
      </c>
    </row>
    <row r="55" spans="2:3">
      <c r="B55" s="12">
        <f t="shared" si="0"/>
        <v>51</v>
      </c>
      <c r="C55" s="13" t="s">
        <v>113</v>
      </c>
    </row>
    <row r="56" spans="2:3">
      <c r="B56" s="12">
        <f t="shared" si="0"/>
        <v>52</v>
      </c>
      <c r="C56" s="13" t="s">
        <v>114</v>
      </c>
    </row>
    <row r="57" spans="2:3">
      <c r="B57" s="12">
        <f t="shared" si="0"/>
        <v>53</v>
      </c>
      <c r="C57" s="13" t="s">
        <v>115</v>
      </c>
    </row>
    <row r="58" spans="2:3">
      <c r="B58" s="12">
        <f t="shared" si="0"/>
        <v>54</v>
      </c>
      <c r="C58" s="13" t="s">
        <v>116</v>
      </c>
    </row>
    <row r="59" spans="2:3">
      <c r="B59" s="12">
        <f t="shared" si="0"/>
        <v>55</v>
      </c>
      <c r="C59" s="13" t="s">
        <v>117</v>
      </c>
    </row>
    <row r="60" spans="2:3">
      <c r="B60" s="12">
        <f t="shared" si="0"/>
        <v>56</v>
      </c>
      <c r="C60" s="13" t="s">
        <v>118</v>
      </c>
    </row>
    <row r="61" spans="2:3">
      <c r="B61" s="12">
        <f t="shared" si="0"/>
        <v>57</v>
      </c>
      <c r="C61" s="13" t="s">
        <v>119</v>
      </c>
    </row>
    <row r="62" spans="2:3">
      <c r="B62" s="12">
        <f t="shared" si="0"/>
        <v>58</v>
      </c>
      <c r="C62" s="13" t="s">
        <v>120</v>
      </c>
    </row>
    <row r="63" spans="2:3">
      <c r="B63" s="12">
        <f t="shared" si="0"/>
        <v>59</v>
      </c>
      <c r="C63" s="13" t="s">
        <v>121</v>
      </c>
    </row>
    <row r="64" spans="2:3">
      <c r="B64" s="12">
        <f t="shared" si="0"/>
        <v>60</v>
      </c>
      <c r="C64" s="13" t="s">
        <v>122</v>
      </c>
    </row>
    <row r="65" spans="2:3">
      <c r="B65" s="12">
        <f t="shared" si="0"/>
        <v>61</v>
      </c>
      <c r="C65" s="13" t="s">
        <v>123</v>
      </c>
    </row>
    <row r="66" spans="2:3">
      <c r="B66" s="12">
        <f t="shared" si="0"/>
        <v>62</v>
      </c>
      <c r="C66" s="13" t="s">
        <v>124</v>
      </c>
    </row>
    <row r="67" spans="2:3">
      <c r="B67" s="12">
        <f t="shared" si="0"/>
        <v>63</v>
      </c>
      <c r="C67" s="13" t="s">
        <v>125</v>
      </c>
    </row>
    <row r="68" spans="2:3">
      <c r="B68" s="12">
        <f t="shared" si="0"/>
        <v>64</v>
      </c>
      <c r="C68" s="13" t="s">
        <v>126</v>
      </c>
    </row>
    <row r="69" spans="2:3">
      <c r="B69" s="12">
        <f t="shared" si="0"/>
        <v>65</v>
      </c>
      <c r="C69" s="13" t="s">
        <v>127</v>
      </c>
    </row>
    <row r="70" spans="2:3">
      <c r="B70" s="12">
        <f t="shared" si="0"/>
        <v>66</v>
      </c>
      <c r="C70" s="13" t="s">
        <v>128</v>
      </c>
    </row>
    <row r="71" spans="2:3">
      <c r="B71" s="12">
        <f t="shared" ref="B71:B104" si="1">+SUM(B70+1)</f>
        <v>67</v>
      </c>
      <c r="C71" s="13" t="s">
        <v>129</v>
      </c>
    </row>
    <row r="72" spans="2:3">
      <c r="B72" s="12">
        <f t="shared" si="1"/>
        <v>68</v>
      </c>
      <c r="C72" s="13" t="s">
        <v>130</v>
      </c>
    </row>
    <row r="73" spans="2:3">
      <c r="B73" s="12">
        <f t="shared" si="1"/>
        <v>69</v>
      </c>
      <c r="C73" s="13" t="s">
        <v>131</v>
      </c>
    </row>
    <row r="74" spans="2:3">
      <c r="B74" s="12">
        <f t="shared" si="1"/>
        <v>70</v>
      </c>
      <c r="C74" s="13" t="s">
        <v>132</v>
      </c>
    </row>
    <row r="75" spans="2:3">
      <c r="B75" s="12">
        <f t="shared" si="1"/>
        <v>71</v>
      </c>
      <c r="C75" s="13" t="s">
        <v>133</v>
      </c>
    </row>
    <row r="76" spans="2:3">
      <c r="B76" s="12">
        <f t="shared" si="1"/>
        <v>72</v>
      </c>
      <c r="C76" s="13" t="s">
        <v>134</v>
      </c>
    </row>
    <row r="77" spans="2:3">
      <c r="B77" s="12">
        <f t="shared" si="1"/>
        <v>73</v>
      </c>
      <c r="C77" s="13" t="s">
        <v>135</v>
      </c>
    </row>
    <row r="78" spans="2:3">
      <c r="B78" s="12">
        <f t="shared" si="1"/>
        <v>74</v>
      </c>
      <c r="C78" s="13" t="s">
        <v>136</v>
      </c>
    </row>
    <row r="79" spans="2:3">
      <c r="B79" s="12">
        <f t="shared" si="1"/>
        <v>75</v>
      </c>
      <c r="C79" s="13" t="s">
        <v>137</v>
      </c>
    </row>
    <row r="80" spans="2:3">
      <c r="B80" s="12">
        <f t="shared" si="1"/>
        <v>76</v>
      </c>
      <c r="C80" s="13" t="s">
        <v>138</v>
      </c>
    </row>
    <row r="81" spans="2:3">
      <c r="B81" s="12">
        <f t="shared" si="1"/>
        <v>77</v>
      </c>
      <c r="C81" s="13" t="s">
        <v>139</v>
      </c>
    </row>
    <row r="82" spans="2:3">
      <c r="B82" s="12">
        <f t="shared" si="1"/>
        <v>78</v>
      </c>
      <c r="C82" s="13" t="s">
        <v>140</v>
      </c>
    </row>
    <row r="83" spans="2:3">
      <c r="B83" s="12">
        <f t="shared" si="1"/>
        <v>79</v>
      </c>
      <c r="C83" s="13" t="s">
        <v>141</v>
      </c>
    </row>
    <row r="84" spans="2:3">
      <c r="B84" s="12">
        <f t="shared" si="1"/>
        <v>80</v>
      </c>
      <c r="C84" s="13" t="s">
        <v>142</v>
      </c>
    </row>
    <row r="85" spans="2:3">
      <c r="B85" s="12">
        <f t="shared" si="1"/>
        <v>81</v>
      </c>
      <c r="C85" s="13" t="s">
        <v>143</v>
      </c>
    </row>
    <row r="86" spans="2:3">
      <c r="B86" s="12">
        <f t="shared" si="1"/>
        <v>82</v>
      </c>
      <c r="C86" s="13" t="s">
        <v>144</v>
      </c>
    </row>
    <row r="87" spans="2:3">
      <c r="B87" s="12">
        <f t="shared" si="1"/>
        <v>83</v>
      </c>
      <c r="C87" s="13" t="s">
        <v>145</v>
      </c>
    </row>
    <row r="88" spans="2:3">
      <c r="B88" s="12">
        <f t="shared" si="1"/>
        <v>84</v>
      </c>
      <c r="C88" s="13" t="s">
        <v>146</v>
      </c>
    </row>
    <row r="89" spans="2:3">
      <c r="B89" s="12">
        <f t="shared" si="1"/>
        <v>85</v>
      </c>
      <c r="C89" s="13" t="s">
        <v>147</v>
      </c>
    </row>
    <row r="90" spans="2:3">
      <c r="B90" s="12">
        <f t="shared" si="1"/>
        <v>86</v>
      </c>
      <c r="C90" s="13" t="s">
        <v>148</v>
      </c>
    </row>
    <row r="91" spans="2:3">
      <c r="B91" s="12">
        <f t="shared" si="1"/>
        <v>87</v>
      </c>
      <c r="C91" s="13" t="s">
        <v>149</v>
      </c>
    </row>
    <row r="92" spans="2:3">
      <c r="B92" s="12">
        <f t="shared" si="1"/>
        <v>88</v>
      </c>
      <c r="C92" s="13" t="s">
        <v>150</v>
      </c>
    </row>
    <row r="93" spans="2:3">
      <c r="B93" s="12">
        <f t="shared" si="1"/>
        <v>89</v>
      </c>
      <c r="C93" s="13" t="s">
        <v>151</v>
      </c>
    </row>
    <row r="94" spans="2:3">
      <c r="B94" s="12">
        <f t="shared" si="1"/>
        <v>90</v>
      </c>
      <c r="C94" s="13" t="s">
        <v>152</v>
      </c>
    </row>
    <row r="95" spans="2:3">
      <c r="B95" s="12">
        <f t="shared" si="1"/>
        <v>91</v>
      </c>
      <c r="C95" s="13" t="s">
        <v>153</v>
      </c>
    </row>
    <row r="96" spans="2:3">
      <c r="B96" s="12">
        <f t="shared" si="1"/>
        <v>92</v>
      </c>
      <c r="C96" s="13" t="s">
        <v>154</v>
      </c>
    </row>
    <row r="97" spans="2:3">
      <c r="B97" s="12">
        <f t="shared" si="1"/>
        <v>93</v>
      </c>
      <c r="C97" s="13" t="s">
        <v>155</v>
      </c>
    </row>
    <row r="98" spans="2:3">
      <c r="B98" s="12">
        <f t="shared" si="1"/>
        <v>94</v>
      </c>
      <c r="C98" s="13" t="s">
        <v>156</v>
      </c>
    </row>
    <row r="99" spans="2:3">
      <c r="B99" s="12">
        <f t="shared" si="1"/>
        <v>95</v>
      </c>
      <c r="C99" s="13" t="s">
        <v>157</v>
      </c>
    </row>
    <row r="100" spans="2:3">
      <c r="B100" s="12">
        <f t="shared" si="1"/>
        <v>96</v>
      </c>
      <c r="C100" s="13" t="s">
        <v>158</v>
      </c>
    </row>
    <row r="101" spans="2:3">
      <c r="B101" s="12">
        <f t="shared" si="1"/>
        <v>97</v>
      </c>
      <c r="C101" s="13" t="s">
        <v>159</v>
      </c>
    </row>
    <row r="102" spans="2:3">
      <c r="B102" s="12">
        <f t="shared" si="1"/>
        <v>98</v>
      </c>
      <c r="C102" s="13" t="s">
        <v>160</v>
      </c>
    </row>
    <row r="103" spans="2:3">
      <c r="B103" s="12">
        <f t="shared" si="1"/>
        <v>99</v>
      </c>
      <c r="C103" s="13" t="s">
        <v>161</v>
      </c>
    </row>
    <row r="104" spans="2:3" ht="17.25" thickBot="1">
      <c r="B104" s="12">
        <f t="shared" si="1"/>
        <v>100</v>
      </c>
      <c r="C104" s="14" t="s">
        <v>162</v>
      </c>
    </row>
    <row r="105" spans="2:3"/>
    <row r="106" spans="2:3"/>
    <row r="107" spans="2: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B1:M50"/>
  <sheetViews>
    <sheetView showGridLines="0" topLeftCell="E25" workbookViewId="0">
      <selection activeCell="H39" sqref="H39"/>
    </sheetView>
  </sheetViews>
  <sheetFormatPr defaultRowHeight="15"/>
  <cols>
    <col min="1" max="1" width="9.7109375" style="25" customWidth="1"/>
    <col min="2" max="2" width="3.5703125" style="25" customWidth="1"/>
    <col min="3" max="3" width="6.5703125" style="25" customWidth="1"/>
    <col min="4" max="4" width="11.5703125" style="25" bestFit="1" customWidth="1"/>
    <col min="5" max="5" width="31.7109375" style="25" customWidth="1"/>
    <col min="6" max="6" width="5" style="25" customWidth="1"/>
    <col min="7" max="10" width="8.7109375" style="25" customWidth="1"/>
    <col min="11" max="11" width="4.28515625" style="25" customWidth="1"/>
    <col min="12" max="16384" width="9.140625" style="25"/>
  </cols>
  <sheetData>
    <row r="1" spans="2:13" ht="23.25" customHeight="1"/>
    <row r="2" spans="2:13" ht="15.75" customHeight="1">
      <c r="B2" s="57"/>
      <c r="C2" s="57"/>
      <c r="D2" s="57"/>
      <c r="E2" s="57"/>
      <c r="F2" s="57"/>
      <c r="G2" s="57"/>
      <c r="H2" s="57"/>
      <c r="I2" s="57"/>
      <c r="J2" s="57"/>
      <c r="K2" s="57"/>
    </row>
    <row r="3" spans="2:13" ht="22.5" customHeight="1">
      <c r="B3" s="57"/>
      <c r="C3" s="539" t="s">
        <v>53</v>
      </c>
      <c r="D3" s="539"/>
      <c r="E3" s="539"/>
      <c r="F3" s="539"/>
      <c r="G3" s="539"/>
      <c r="H3" s="539"/>
      <c r="I3" s="539"/>
      <c r="J3" s="539"/>
      <c r="K3" s="57"/>
    </row>
    <row r="4" spans="2:13" ht="18" customHeight="1">
      <c r="B4" s="57"/>
      <c r="C4" s="539"/>
      <c r="D4" s="539"/>
      <c r="E4" s="539"/>
      <c r="F4" s="539"/>
      <c r="G4" s="539"/>
      <c r="H4" s="539"/>
      <c r="I4" s="539"/>
      <c r="J4" s="539"/>
      <c r="K4" s="57"/>
    </row>
    <row r="5" spans="2:13" ht="18.75" customHeight="1">
      <c r="B5" s="57"/>
      <c r="C5" s="539"/>
      <c r="D5" s="539"/>
      <c r="E5" s="539"/>
      <c r="F5" s="539"/>
      <c r="G5" s="539"/>
      <c r="H5" s="539"/>
      <c r="I5" s="539"/>
      <c r="J5" s="539"/>
      <c r="K5" s="57"/>
    </row>
    <row r="6" spans="2:13">
      <c r="B6" s="57"/>
      <c r="C6" s="21"/>
      <c r="D6" s="21"/>
      <c r="E6" s="21"/>
      <c r="F6" s="21"/>
      <c r="G6" s="21"/>
      <c r="H6" s="21"/>
      <c r="I6" s="21"/>
      <c r="J6" s="21"/>
      <c r="K6" s="57"/>
    </row>
    <row r="7" spans="2:13" ht="16.5" customHeight="1">
      <c r="B7" s="57"/>
      <c r="C7" s="540" t="s">
        <v>48</v>
      </c>
      <c r="D7" s="541" t="s">
        <v>20</v>
      </c>
      <c r="E7" s="540" t="s">
        <v>54</v>
      </c>
      <c r="F7" s="541" t="s">
        <v>55</v>
      </c>
      <c r="G7" s="540" t="s">
        <v>56</v>
      </c>
      <c r="H7" s="540"/>
      <c r="I7" s="540"/>
      <c r="J7" s="540"/>
      <c r="K7" s="57"/>
    </row>
    <row r="8" spans="2:13" ht="16.5" customHeight="1">
      <c r="B8" s="57"/>
      <c r="C8" s="540"/>
      <c r="D8" s="542"/>
      <c r="E8" s="540"/>
      <c r="F8" s="542"/>
      <c r="G8" s="26" t="s">
        <v>25</v>
      </c>
      <c r="H8" s="26" t="s">
        <v>26</v>
      </c>
      <c r="I8" s="26" t="s">
        <v>57</v>
      </c>
      <c r="J8" s="26" t="s">
        <v>58</v>
      </c>
      <c r="K8" s="57"/>
    </row>
    <row r="9" spans="2:13" ht="16.5" customHeight="1">
      <c r="B9" s="57"/>
      <c r="C9" s="298">
        <v>1</v>
      </c>
      <c r="D9" s="298" t="str">
        <f>IF(DataSiswa!B8="",""," "&amp;DataSiswa!B8)</f>
        <v xml:space="preserve"> 9986980442</v>
      </c>
      <c r="E9" s="299" t="str">
        <f>IF(DataSiswa!C8="",""," "&amp;DataSiswa!C8)</f>
        <v xml:space="preserve"> Aditya Taufik Sastra</v>
      </c>
      <c r="F9" s="300" t="str">
        <f>IF(DataSiswa!D8="",""," "&amp;DataSiswa!D8)</f>
        <v xml:space="preserve"> Laki-laki</v>
      </c>
      <c r="G9" s="27">
        <v>1</v>
      </c>
      <c r="H9" s="314">
        <v>1</v>
      </c>
      <c r="I9" s="314">
        <v>2</v>
      </c>
      <c r="J9" s="27">
        <f>SUM(G9:I9)</f>
        <v>4</v>
      </c>
      <c r="K9" s="57"/>
      <c r="M9" s="25" t="s">
        <v>59</v>
      </c>
    </row>
    <row r="10" spans="2:13" ht="16.5" customHeight="1">
      <c r="B10" s="57"/>
      <c r="C10" s="298">
        <v>2</v>
      </c>
      <c r="D10" s="298" t="str">
        <f>IF(DataSiswa!B9="",""," "&amp;DataSiswa!B9)</f>
        <v xml:space="preserve"> 9982907972</v>
      </c>
      <c r="E10" s="299" t="str">
        <f>IF(DataSiswa!C9="",""," "&amp;DataSiswa!C9)</f>
        <v xml:space="preserve"> Angger Ghufron Pangestu</v>
      </c>
      <c r="F10" s="300" t="str">
        <f>IF(DataSiswa!D9="",""," "&amp;DataSiswa!D9)</f>
        <v xml:space="preserve"> Laki-laki</v>
      </c>
      <c r="G10" s="27"/>
      <c r="H10" s="314" t="s">
        <v>36</v>
      </c>
      <c r="I10" s="314">
        <v>2</v>
      </c>
      <c r="J10" s="27">
        <f>SUM(G10:I10)</f>
        <v>2</v>
      </c>
      <c r="K10" s="57"/>
      <c r="M10" s="25" t="s">
        <v>315</v>
      </c>
    </row>
    <row r="11" spans="2:13" ht="16.5" customHeight="1">
      <c r="B11" s="57"/>
      <c r="C11" s="298">
        <v>3</v>
      </c>
      <c r="D11" s="298" t="str">
        <f>IF(DataSiswa!B10="",""," "&amp;DataSiswa!B10)</f>
        <v xml:space="preserve"> 9983601594</v>
      </c>
      <c r="E11" s="299" t="str">
        <f>IF(DataSiswa!C10="",""," "&amp;DataSiswa!C10)</f>
        <v xml:space="preserve"> Anjellia Novia Safitri</v>
      </c>
      <c r="F11" s="300" t="str">
        <f>IF(DataSiswa!D10="",""," "&amp;DataSiswa!D10)</f>
        <v xml:space="preserve"> Perempuan</v>
      </c>
      <c r="G11" s="314" t="s">
        <v>36</v>
      </c>
      <c r="H11" s="314">
        <v>1</v>
      </c>
      <c r="I11" s="314" t="s">
        <v>36</v>
      </c>
      <c r="J11" s="27">
        <f>SUM(G11:I11)</f>
        <v>1</v>
      </c>
      <c r="K11" s="57"/>
    </row>
    <row r="12" spans="2:13" ht="16.5" customHeight="1">
      <c r="B12" s="57"/>
      <c r="C12" s="298">
        <v>4</v>
      </c>
      <c r="D12" s="298" t="str">
        <f>IF(DataSiswa!B11="",""," "&amp;DataSiswa!B11)</f>
        <v xml:space="preserve"> 9989091797</v>
      </c>
      <c r="E12" s="299" t="str">
        <f>IF(DataSiswa!C11="",""," "&amp;DataSiswa!C11)</f>
        <v xml:space="preserve"> Azis Fahrozi</v>
      </c>
      <c r="F12" s="300" t="str">
        <f>IF(DataSiswa!D11="",""," "&amp;DataSiswa!D11)</f>
        <v xml:space="preserve"> Laki-laki</v>
      </c>
      <c r="G12" s="314" t="s">
        <v>36</v>
      </c>
      <c r="H12" s="314">
        <v>3</v>
      </c>
      <c r="I12" s="314">
        <v>2</v>
      </c>
      <c r="J12" s="27">
        <f t="shared" ref="J12:J40" si="0">SUM(G12:I12)</f>
        <v>5</v>
      </c>
      <c r="K12" s="57"/>
    </row>
    <row r="13" spans="2:13" ht="16.5" customHeight="1">
      <c r="B13" s="57"/>
      <c r="C13" s="298">
        <v>5</v>
      </c>
      <c r="D13" s="298" t="str">
        <f>IF(DataSiswa!B12="",""," "&amp;DataSiswa!B12)</f>
        <v xml:space="preserve"> 9989983501</v>
      </c>
      <c r="E13" s="299" t="str">
        <f>IF(DataSiswa!C12="",""," "&amp;DataSiswa!C12)</f>
        <v xml:space="preserve"> Berliana Monica</v>
      </c>
      <c r="F13" s="300" t="str">
        <f>IF(DataSiswa!D12="",""," "&amp;DataSiswa!D12)</f>
        <v xml:space="preserve"> Perempuan</v>
      </c>
      <c r="G13" s="314">
        <v>1</v>
      </c>
      <c r="H13" s="314">
        <v>1</v>
      </c>
      <c r="I13" s="314" t="s">
        <v>36</v>
      </c>
      <c r="J13" s="27">
        <f t="shared" si="0"/>
        <v>2</v>
      </c>
      <c r="K13" s="57"/>
    </row>
    <row r="14" spans="2:13" ht="16.5" customHeight="1">
      <c r="B14" s="57"/>
      <c r="C14" s="298">
        <v>6</v>
      </c>
      <c r="D14" s="298" t="str">
        <f>IF(DataSiswa!B13="",""," "&amp;DataSiswa!B13)</f>
        <v xml:space="preserve"> 9970817548</v>
      </c>
      <c r="E14" s="299" t="str">
        <f>IF(DataSiswa!C13="",""," "&amp;DataSiswa!C13)</f>
        <v xml:space="preserve"> Defri Nofriadi</v>
      </c>
      <c r="F14" s="300" t="str">
        <f>IF(DataSiswa!D13="",""," "&amp;DataSiswa!D13)</f>
        <v xml:space="preserve"> Laki-laki</v>
      </c>
      <c r="G14" s="314" t="s">
        <v>36</v>
      </c>
      <c r="H14" s="314">
        <v>1</v>
      </c>
      <c r="I14" s="314" t="s">
        <v>36</v>
      </c>
      <c r="J14" s="27">
        <f t="shared" si="0"/>
        <v>1</v>
      </c>
      <c r="K14" s="57"/>
    </row>
    <row r="15" spans="2:13" ht="16.5" customHeight="1">
      <c r="B15" s="57"/>
      <c r="C15" s="298">
        <v>7</v>
      </c>
      <c r="D15" s="298" t="str">
        <f>IF(DataSiswa!B14="",""," "&amp;DataSiswa!B14)</f>
        <v xml:space="preserve"> 9980817555</v>
      </c>
      <c r="E15" s="299" t="str">
        <f>IF(DataSiswa!C14="",""," "&amp;DataSiswa!C14)</f>
        <v xml:space="preserve"> Dina Mardana Dulas</v>
      </c>
      <c r="F15" s="300" t="str">
        <f>IF(DataSiswa!D14="",""," "&amp;DataSiswa!D14)</f>
        <v xml:space="preserve"> Perempuan</v>
      </c>
      <c r="G15" s="314" t="s">
        <v>36</v>
      </c>
      <c r="H15" s="314">
        <v>1</v>
      </c>
      <c r="I15" s="314" t="s">
        <v>36</v>
      </c>
      <c r="J15" s="27">
        <f t="shared" si="0"/>
        <v>1</v>
      </c>
      <c r="K15" s="57"/>
    </row>
    <row r="16" spans="2:13" ht="16.5" customHeight="1">
      <c r="B16" s="57"/>
      <c r="C16" s="298">
        <v>8</v>
      </c>
      <c r="D16" s="298" t="str">
        <f>IF(DataSiswa!B15="",""," "&amp;DataSiswa!B15)</f>
        <v xml:space="preserve"> 9980817812</v>
      </c>
      <c r="E16" s="299" t="str">
        <f>IF(DataSiswa!C15="",""," "&amp;DataSiswa!C15)</f>
        <v xml:space="preserve"> Famella Putriadi</v>
      </c>
      <c r="F16" s="300" t="str">
        <f>IF(DataSiswa!D15="",""," "&amp;DataSiswa!D15)</f>
        <v xml:space="preserve"> Perempuan</v>
      </c>
      <c r="G16" s="314" t="s">
        <v>36</v>
      </c>
      <c r="H16" s="314">
        <v>4</v>
      </c>
      <c r="I16" s="314" t="s">
        <v>36</v>
      </c>
      <c r="J16" s="27">
        <f t="shared" si="0"/>
        <v>4</v>
      </c>
      <c r="K16" s="57"/>
    </row>
    <row r="17" spans="2:11" ht="16.5" customHeight="1">
      <c r="B17" s="57"/>
      <c r="C17" s="298">
        <v>9</v>
      </c>
      <c r="D17" s="298" t="str">
        <f>IF(DataSiswa!B16="",""," "&amp;DataSiswa!B16)</f>
        <v xml:space="preserve"> 9986349049</v>
      </c>
      <c r="E17" s="299" t="str">
        <f>IF(DataSiswa!C16="",""," "&amp;DataSiswa!C16)</f>
        <v xml:space="preserve"> Febrawati Fajlynd</v>
      </c>
      <c r="F17" s="300" t="str">
        <f>IF(DataSiswa!D16="",""," "&amp;DataSiswa!D16)</f>
        <v xml:space="preserve"> Perempuan</v>
      </c>
      <c r="G17" s="314">
        <v>3</v>
      </c>
      <c r="H17" s="314" t="s">
        <v>36</v>
      </c>
      <c r="I17" s="314">
        <v>1</v>
      </c>
      <c r="J17" s="27">
        <f t="shared" si="0"/>
        <v>4</v>
      </c>
      <c r="K17" s="57"/>
    </row>
    <row r="18" spans="2:11" ht="16.5" customHeight="1">
      <c r="B18" s="57"/>
      <c r="C18" s="298">
        <v>10</v>
      </c>
      <c r="D18" s="298" t="str">
        <f>IF(DataSiswa!B17="",""," "&amp;DataSiswa!B17)</f>
        <v xml:space="preserve"> 9980673410</v>
      </c>
      <c r="E18" s="299" t="str">
        <f>IF(DataSiswa!C17="",""," "&amp;DataSiswa!C17)</f>
        <v xml:space="preserve"> Fierro Perdana Ibrahim</v>
      </c>
      <c r="F18" s="300" t="str">
        <f>IF(DataSiswa!D17="",""," "&amp;DataSiswa!D17)</f>
        <v xml:space="preserve"> Laki-laki</v>
      </c>
      <c r="G18" s="314" t="s">
        <v>36</v>
      </c>
      <c r="H18" s="314">
        <v>2</v>
      </c>
      <c r="I18" s="314" t="s">
        <v>36</v>
      </c>
      <c r="J18" s="27">
        <f t="shared" si="0"/>
        <v>2</v>
      </c>
      <c r="K18" s="57"/>
    </row>
    <row r="19" spans="2:11" ht="16.5" customHeight="1">
      <c r="B19" s="57"/>
      <c r="C19" s="298">
        <v>11</v>
      </c>
      <c r="D19" s="298" t="str">
        <f>IF(DataSiswa!B18="",""," "&amp;DataSiswa!B18)</f>
        <v xml:space="preserve"> 9980817833</v>
      </c>
      <c r="E19" s="299" t="str">
        <f>IF(DataSiswa!C18="",""," "&amp;DataSiswa!C18)</f>
        <v xml:space="preserve"> Jihan Salsabilla</v>
      </c>
      <c r="F19" s="300" t="str">
        <f>IF(DataSiswa!D18="",""," "&amp;DataSiswa!D18)</f>
        <v xml:space="preserve"> Perempuan</v>
      </c>
      <c r="G19" s="314">
        <v>1</v>
      </c>
      <c r="H19" s="314">
        <v>3</v>
      </c>
      <c r="I19" s="314" t="s">
        <v>36</v>
      </c>
      <c r="J19" s="27">
        <f t="shared" si="0"/>
        <v>4</v>
      </c>
      <c r="K19" s="57"/>
    </row>
    <row r="20" spans="2:11" ht="16.5" customHeight="1">
      <c r="B20" s="57"/>
      <c r="C20" s="298">
        <v>12</v>
      </c>
      <c r="D20" s="298" t="str">
        <f>IF(DataSiswa!B19="",""," "&amp;DataSiswa!B19)</f>
        <v xml:space="preserve"> 9980065874</v>
      </c>
      <c r="E20" s="299" t="str">
        <f>IF(DataSiswa!C19="",""," "&amp;DataSiswa!C19)</f>
        <v xml:space="preserve"> Karina Safira Rannas</v>
      </c>
      <c r="F20" s="300" t="str">
        <f>IF(DataSiswa!D19="",""," "&amp;DataSiswa!D19)</f>
        <v xml:space="preserve"> Perempuan</v>
      </c>
      <c r="G20" s="314" t="s">
        <v>36</v>
      </c>
      <c r="H20" s="314">
        <v>4</v>
      </c>
      <c r="I20" s="314">
        <v>2</v>
      </c>
      <c r="J20" s="27">
        <f t="shared" si="0"/>
        <v>6</v>
      </c>
      <c r="K20" s="57"/>
    </row>
    <row r="21" spans="2:11" ht="16.5" customHeight="1">
      <c r="B21" s="57"/>
      <c r="C21" s="298">
        <v>13</v>
      </c>
      <c r="D21" s="298" t="str">
        <f>IF(DataSiswa!B20="",""," "&amp;DataSiswa!B20)</f>
        <v xml:space="preserve"> 9970816998</v>
      </c>
      <c r="E21" s="299" t="str">
        <f>IF(DataSiswa!C20="",""," "&amp;DataSiswa!C20)</f>
        <v xml:space="preserve"> Loura Oktaviola</v>
      </c>
      <c r="F21" s="300" t="str">
        <f>IF(DataSiswa!D20="",""," "&amp;DataSiswa!D20)</f>
        <v xml:space="preserve"> Perempuan</v>
      </c>
      <c r="G21" s="314">
        <v>2</v>
      </c>
      <c r="H21" s="314">
        <v>2</v>
      </c>
      <c r="I21" s="314">
        <v>1</v>
      </c>
      <c r="J21" s="27">
        <f t="shared" si="0"/>
        <v>5</v>
      </c>
      <c r="K21" s="57"/>
    </row>
    <row r="22" spans="2:11" ht="16.5" customHeight="1">
      <c r="B22" s="57"/>
      <c r="C22" s="298">
        <v>14</v>
      </c>
      <c r="D22" s="298" t="str">
        <f>IF(DataSiswa!B21="",""," "&amp;DataSiswa!B21)</f>
        <v xml:space="preserve"> 9982095456</v>
      </c>
      <c r="E22" s="299" t="str">
        <f>IF(DataSiswa!C21="",""," "&amp;DataSiswa!C21)</f>
        <v xml:space="preserve"> Lauren Dwina Arini</v>
      </c>
      <c r="F22" s="300" t="str">
        <f>IF(DataSiswa!D21="",""," "&amp;DataSiswa!D21)</f>
        <v xml:space="preserve"> Perempuan</v>
      </c>
      <c r="G22" s="314" t="s">
        <v>36</v>
      </c>
      <c r="H22" s="314" t="s">
        <v>36</v>
      </c>
      <c r="I22" s="314">
        <v>2</v>
      </c>
      <c r="J22" s="27">
        <f t="shared" si="0"/>
        <v>2</v>
      </c>
      <c r="K22" s="57"/>
    </row>
    <row r="23" spans="2:11" ht="16.5" customHeight="1">
      <c r="B23" s="57"/>
      <c r="C23" s="298">
        <v>15</v>
      </c>
      <c r="D23" s="298" t="str">
        <f>IF(DataSiswa!B22="",""," "&amp;DataSiswa!B22)</f>
        <v xml:space="preserve"> 9980817839</v>
      </c>
      <c r="E23" s="299" t="str">
        <f>IF(DataSiswa!C22="",""," "&amp;DataSiswa!C22)</f>
        <v xml:space="preserve"> Leoni Syagna Velia</v>
      </c>
      <c r="F23" s="300" t="str">
        <f>IF(DataSiswa!D22="",""," "&amp;DataSiswa!D22)</f>
        <v xml:space="preserve"> Perempuan</v>
      </c>
      <c r="G23" s="314" t="s">
        <v>36</v>
      </c>
      <c r="H23" s="314">
        <v>1</v>
      </c>
      <c r="I23" s="314" t="s">
        <v>36</v>
      </c>
      <c r="J23" s="27">
        <f t="shared" si="0"/>
        <v>1</v>
      </c>
      <c r="K23" s="57"/>
    </row>
    <row r="24" spans="2:11" ht="16.5" customHeight="1">
      <c r="B24" s="57"/>
      <c r="C24" s="298">
        <v>16</v>
      </c>
      <c r="D24" s="298" t="str">
        <f>IF(DataSiswa!B23="",""," "&amp;DataSiswa!B23)</f>
        <v xml:space="preserve"> 9982885002</v>
      </c>
      <c r="E24" s="299" t="str">
        <f>IF(DataSiswa!C23="",""," "&amp;DataSiswa!C23)</f>
        <v xml:space="preserve"> Mia Larisa Waskito</v>
      </c>
      <c r="F24" s="300" t="str">
        <f>IF(DataSiswa!D23="",""," "&amp;DataSiswa!D23)</f>
        <v xml:space="preserve"> Perempuan</v>
      </c>
      <c r="G24" s="314" t="s">
        <v>36</v>
      </c>
      <c r="H24" s="314" t="s">
        <v>36</v>
      </c>
      <c r="I24" s="314" t="s">
        <v>36</v>
      </c>
      <c r="J24" s="27">
        <f t="shared" si="0"/>
        <v>0</v>
      </c>
      <c r="K24" s="57"/>
    </row>
    <row r="25" spans="2:11" ht="16.5" customHeight="1">
      <c r="B25" s="57"/>
      <c r="C25" s="298">
        <v>17</v>
      </c>
      <c r="D25" s="298" t="str">
        <f>IF(DataSiswa!B24="",""," "&amp;DataSiswa!B24)</f>
        <v xml:space="preserve"> 9983996707</v>
      </c>
      <c r="E25" s="299" t="str">
        <f>IF(DataSiswa!C24="",""," "&amp;DataSiswa!C24)</f>
        <v xml:space="preserve"> Muhammad Fadel</v>
      </c>
      <c r="F25" s="300" t="str">
        <f>IF(DataSiswa!D24="",""," "&amp;DataSiswa!D24)</f>
        <v xml:space="preserve"> Laki-laki</v>
      </c>
      <c r="G25" s="314">
        <v>1</v>
      </c>
      <c r="H25" s="314">
        <v>1</v>
      </c>
      <c r="I25" s="314" t="s">
        <v>36</v>
      </c>
      <c r="J25" s="27">
        <f t="shared" si="0"/>
        <v>2</v>
      </c>
      <c r="K25" s="57"/>
    </row>
    <row r="26" spans="2:11" ht="16.5" customHeight="1">
      <c r="B26" s="57"/>
      <c r="C26" s="298">
        <v>18</v>
      </c>
      <c r="D26" s="298" t="str">
        <f>IF(DataSiswa!B25="",""," "&amp;DataSiswa!B25)</f>
        <v xml:space="preserve"> 9981328630</v>
      </c>
      <c r="E26" s="299" t="str">
        <f>IF(DataSiswa!C25="",""," "&amp;DataSiswa!C25)</f>
        <v xml:space="preserve"> Muhammad Ilham Fajri</v>
      </c>
      <c r="F26" s="300" t="str">
        <f>IF(DataSiswa!D25="",""," "&amp;DataSiswa!D25)</f>
        <v xml:space="preserve"> Laki-laki</v>
      </c>
      <c r="G26" s="314" t="s">
        <v>36</v>
      </c>
      <c r="H26" s="314">
        <v>1</v>
      </c>
      <c r="I26" s="314">
        <v>1</v>
      </c>
      <c r="J26" s="27">
        <f t="shared" si="0"/>
        <v>2</v>
      </c>
      <c r="K26" s="57"/>
    </row>
    <row r="27" spans="2:11" ht="16.5" customHeight="1">
      <c r="B27" s="57"/>
      <c r="C27" s="298">
        <v>19</v>
      </c>
      <c r="D27" s="298" t="str">
        <f>IF(DataSiswa!B26="",""," "&amp;DataSiswa!B26)</f>
        <v xml:space="preserve"> 9980830799</v>
      </c>
      <c r="E27" s="299" t="str">
        <f>IF(DataSiswa!C26="",""," "&amp;DataSiswa!C26)</f>
        <v xml:space="preserve"> Muhammad Irfan</v>
      </c>
      <c r="F27" s="300" t="str">
        <f>IF(DataSiswa!D26="",""," "&amp;DataSiswa!D26)</f>
        <v xml:space="preserve"> Laki-laki</v>
      </c>
      <c r="G27" s="314" t="s">
        <v>36</v>
      </c>
      <c r="H27" s="314">
        <v>3</v>
      </c>
      <c r="I27" s="314" t="s">
        <v>36</v>
      </c>
      <c r="J27" s="27">
        <f t="shared" si="0"/>
        <v>3</v>
      </c>
      <c r="K27" s="57"/>
    </row>
    <row r="28" spans="2:11" ht="16.5" customHeight="1">
      <c r="B28" s="57"/>
      <c r="C28" s="298">
        <v>20</v>
      </c>
      <c r="D28" s="298" t="str">
        <f>IF(DataSiswa!B27="",""," "&amp;DataSiswa!B27)</f>
        <v xml:space="preserve"> 9981704177</v>
      </c>
      <c r="E28" s="299" t="str">
        <f>IF(DataSiswa!C27="",""," "&amp;DataSiswa!C27)</f>
        <v xml:space="preserve"> Naura Cantika</v>
      </c>
      <c r="F28" s="300" t="str">
        <f>IF(DataSiswa!D27="",""," "&amp;DataSiswa!D27)</f>
        <v xml:space="preserve"> Perempuan</v>
      </c>
      <c r="G28" s="314" t="s">
        <v>36</v>
      </c>
      <c r="H28" s="314" t="s">
        <v>36</v>
      </c>
      <c r="I28" s="314">
        <v>1</v>
      </c>
      <c r="J28" s="27">
        <f t="shared" si="0"/>
        <v>1</v>
      </c>
      <c r="K28" s="57"/>
    </row>
    <row r="29" spans="2:11" ht="16.5" customHeight="1">
      <c r="B29" s="57"/>
      <c r="C29" s="298">
        <v>21</v>
      </c>
      <c r="D29" s="298" t="str">
        <f>IF(DataSiswa!B28="",""," "&amp;DataSiswa!B28)</f>
        <v xml:space="preserve"> 9980810523</v>
      </c>
      <c r="E29" s="299" t="str">
        <f>IF(DataSiswa!C28="",""," "&amp;DataSiswa!C28)</f>
        <v xml:space="preserve"> Nurul Putri Salsabila</v>
      </c>
      <c r="F29" s="300" t="str">
        <f>IF(DataSiswa!D28="",""," "&amp;DataSiswa!D28)</f>
        <v xml:space="preserve"> Perempuan</v>
      </c>
      <c r="G29" s="314">
        <v>4</v>
      </c>
      <c r="H29" s="314">
        <v>1</v>
      </c>
      <c r="I29" s="314">
        <v>1</v>
      </c>
      <c r="J29" s="27">
        <f t="shared" si="0"/>
        <v>6</v>
      </c>
      <c r="K29" s="57"/>
    </row>
    <row r="30" spans="2:11" ht="16.5" customHeight="1">
      <c r="B30" s="57"/>
      <c r="C30" s="298">
        <v>22</v>
      </c>
      <c r="D30" s="298" t="str">
        <f>IF(DataSiswa!B29="",""," "&amp;DataSiswa!B29)</f>
        <v xml:space="preserve"> 9998982066</v>
      </c>
      <c r="E30" s="299" t="str">
        <f>IF(DataSiswa!C29="",""," "&amp;DataSiswa!C29)</f>
        <v xml:space="preserve"> Rafi Fikriya Riza</v>
      </c>
      <c r="F30" s="300" t="str">
        <f>IF(DataSiswa!D29="",""," "&amp;DataSiswa!D29)</f>
        <v xml:space="preserve"> Laki-laki</v>
      </c>
      <c r="G30" s="314" t="s">
        <v>36</v>
      </c>
      <c r="H30" s="314">
        <v>1</v>
      </c>
      <c r="I30" s="314" t="s">
        <v>36</v>
      </c>
      <c r="J30" s="27">
        <f t="shared" si="0"/>
        <v>1</v>
      </c>
      <c r="K30" s="57"/>
    </row>
    <row r="31" spans="2:11" ht="16.5" customHeight="1">
      <c r="B31" s="57"/>
      <c r="C31" s="298">
        <v>23</v>
      </c>
      <c r="D31" s="298" t="str">
        <f>IF(DataSiswa!B30="",""," "&amp;DataSiswa!B30)</f>
        <v xml:space="preserve"> 9985967994</v>
      </c>
      <c r="E31" s="299" t="str">
        <f>IF(DataSiswa!C30="",""," "&amp;DataSiswa!C30)</f>
        <v xml:space="preserve"> Restu Tria Bahri</v>
      </c>
      <c r="F31" s="300" t="str">
        <f>IF(DataSiswa!D30="",""," "&amp;DataSiswa!D30)</f>
        <v xml:space="preserve"> Perempuan</v>
      </c>
      <c r="G31" s="314">
        <v>1</v>
      </c>
      <c r="H31" s="314">
        <v>1</v>
      </c>
      <c r="I31" s="314">
        <v>2</v>
      </c>
      <c r="J31" s="27">
        <f t="shared" si="0"/>
        <v>4</v>
      </c>
      <c r="K31" s="57"/>
    </row>
    <row r="32" spans="2:11" ht="16.5" customHeight="1">
      <c r="B32" s="57"/>
      <c r="C32" s="298">
        <v>24</v>
      </c>
      <c r="D32" s="298" t="str">
        <f>IF(DataSiswa!B31="",""," "&amp;DataSiswa!B31)</f>
        <v xml:space="preserve"> 9980799351</v>
      </c>
      <c r="E32" s="299" t="str">
        <f>IF(DataSiswa!C31="",""," "&amp;DataSiswa!C31)</f>
        <v xml:space="preserve"> Rifka Esofita</v>
      </c>
      <c r="F32" s="300" t="str">
        <f>IF(DataSiswa!D31="",""," "&amp;DataSiswa!D31)</f>
        <v xml:space="preserve"> Perempuan</v>
      </c>
      <c r="G32" s="314" t="s">
        <v>36</v>
      </c>
      <c r="H32" s="314">
        <v>4</v>
      </c>
      <c r="I32" s="314">
        <v>1</v>
      </c>
      <c r="J32" s="27">
        <f t="shared" si="0"/>
        <v>5</v>
      </c>
      <c r="K32" s="57"/>
    </row>
    <row r="33" spans="2:11" ht="16.5" customHeight="1">
      <c r="B33" s="57"/>
      <c r="C33" s="298">
        <v>25</v>
      </c>
      <c r="D33" s="298" t="str">
        <f>IF(DataSiswa!B32="",""," "&amp;DataSiswa!B32)</f>
        <v xml:space="preserve"> 9982095495</v>
      </c>
      <c r="E33" s="299" t="str">
        <f>IF(DataSiswa!C32="",""," "&amp;DataSiswa!C32)</f>
        <v xml:space="preserve"> Rifo Ranofan</v>
      </c>
      <c r="F33" s="300" t="str">
        <f>IF(DataSiswa!D32="",""," "&amp;DataSiswa!D32)</f>
        <v xml:space="preserve"> Laki-laki</v>
      </c>
      <c r="G33" s="314" t="s">
        <v>36</v>
      </c>
      <c r="H33" s="314">
        <v>3</v>
      </c>
      <c r="I33" s="314" t="s">
        <v>36</v>
      </c>
      <c r="J33" s="27">
        <f t="shared" si="0"/>
        <v>3</v>
      </c>
      <c r="K33" s="57"/>
    </row>
    <row r="34" spans="2:11" ht="16.5" customHeight="1">
      <c r="B34" s="57"/>
      <c r="C34" s="298">
        <v>26</v>
      </c>
      <c r="D34" s="298" t="str">
        <f>IF(DataSiswa!B33="",""," "&amp;DataSiswa!B33)</f>
        <v xml:space="preserve"> 9985858026</v>
      </c>
      <c r="E34" s="299" t="str">
        <f>IF(DataSiswa!C33="",""," "&amp;DataSiswa!C33)</f>
        <v xml:space="preserve"> Stephany Widyanti</v>
      </c>
      <c r="F34" s="300" t="str">
        <f>IF(DataSiswa!D33="",""," "&amp;DataSiswa!D33)</f>
        <v xml:space="preserve"> Perempuan</v>
      </c>
      <c r="G34" s="314">
        <v>2</v>
      </c>
      <c r="H34" s="314" t="s">
        <v>36</v>
      </c>
      <c r="I34" s="314" t="s">
        <v>36</v>
      </c>
      <c r="J34" s="27">
        <f t="shared" si="0"/>
        <v>2</v>
      </c>
      <c r="K34" s="57"/>
    </row>
    <row r="35" spans="2:11" ht="16.5" customHeight="1">
      <c r="B35" s="57"/>
      <c r="C35" s="298">
        <v>27</v>
      </c>
      <c r="D35" s="298" t="str">
        <f>IF(DataSiswa!B34="",""," "&amp;DataSiswa!B34)</f>
        <v xml:space="preserve"> 9980818512</v>
      </c>
      <c r="E35" s="299" t="str">
        <f>IF(DataSiswa!C34="",""," "&amp;DataSiswa!C34)</f>
        <v xml:space="preserve"> Tiara Yulianti</v>
      </c>
      <c r="F35" s="300" t="str">
        <f>IF(DataSiswa!D34="",""," "&amp;DataSiswa!D34)</f>
        <v xml:space="preserve"> Perempuan</v>
      </c>
      <c r="G35" s="314" t="s">
        <v>36</v>
      </c>
      <c r="H35" s="314">
        <v>1</v>
      </c>
      <c r="I35" s="314"/>
      <c r="J35" s="27">
        <f t="shared" si="0"/>
        <v>1</v>
      </c>
      <c r="K35" s="57"/>
    </row>
    <row r="36" spans="2:11" ht="16.5" customHeight="1">
      <c r="B36" s="57"/>
      <c r="C36" s="298">
        <v>28</v>
      </c>
      <c r="D36" s="298" t="str">
        <f>IF(DataSiswa!B35="",""," "&amp;DataSiswa!B35)</f>
        <v xml:space="preserve"> 9982393794</v>
      </c>
      <c r="E36" s="299" t="str">
        <f>IF(DataSiswa!C35="",""," "&amp;DataSiswa!C35)</f>
        <v xml:space="preserve"> Tika Wandira</v>
      </c>
      <c r="F36" s="300" t="str">
        <f>IF(DataSiswa!D35="",""," "&amp;DataSiswa!D35)</f>
        <v xml:space="preserve"> Perempuan</v>
      </c>
      <c r="G36" s="314" t="s">
        <v>36</v>
      </c>
      <c r="H36" s="314">
        <v>1</v>
      </c>
      <c r="I36" s="314"/>
      <c r="J36" s="27">
        <f t="shared" si="0"/>
        <v>1</v>
      </c>
      <c r="K36" s="57"/>
    </row>
    <row r="37" spans="2:11" ht="16.5" customHeight="1">
      <c r="B37" s="57"/>
      <c r="C37" s="298">
        <v>29</v>
      </c>
      <c r="D37" s="298" t="str">
        <f>IF(DataSiswa!B36="",""," "&amp;DataSiswa!B36)</f>
        <v xml:space="preserve"> 9980818720</v>
      </c>
      <c r="E37" s="299" t="str">
        <f>IF(DataSiswa!C36="",""," "&amp;DataSiswa!C36)</f>
        <v xml:space="preserve"> Ulfa Febriyani</v>
      </c>
      <c r="F37" s="300" t="str">
        <f>IF(DataSiswa!D36="",""," "&amp;DataSiswa!D36)</f>
        <v xml:space="preserve"> Perempuan</v>
      </c>
      <c r="G37" s="314" t="s">
        <v>36</v>
      </c>
      <c r="H37" s="314">
        <v>3</v>
      </c>
      <c r="I37" s="314" t="s">
        <v>36</v>
      </c>
      <c r="J37" s="27">
        <f t="shared" si="0"/>
        <v>3</v>
      </c>
      <c r="K37" s="57"/>
    </row>
    <row r="38" spans="2:11" ht="16.5" customHeight="1">
      <c r="B38" s="57"/>
      <c r="C38" s="298">
        <v>30</v>
      </c>
      <c r="D38" s="298" t="str">
        <f>IF(DataSiswa!B37="",""," "&amp;DataSiswa!B37)</f>
        <v xml:space="preserve"> 9990756408</v>
      </c>
      <c r="E38" s="299" t="str">
        <f>IF(DataSiswa!C37="",""," "&amp;DataSiswa!C37)</f>
        <v xml:space="preserve"> Valdy Filando Sardi</v>
      </c>
      <c r="F38" s="300" t="str">
        <f>IF(DataSiswa!D37="",""," "&amp;DataSiswa!D37)</f>
        <v xml:space="preserve"> Laki-laki</v>
      </c>
      <c r="G38" s="314" t="s">
        <v>36</v>
      </c>
      <c r="H38" s="314">
        <v>2</v>
      </c>
      <c r="I38" s="314" t="s">
        <v>36</v>
      </c>
      <c r="J38" s="27">
        <f t="shared" si="0"/>
        <v>2</v>
      </c>
      <c r="K38" s="57"/>
    </row>
    <row r="39" spans="2:11" ht="16.5" customHeight="1">
      <c r="B39" s="57"/>
      <c r="C39" s="298">
        <v>31</v>
      </c>
      <c r="D39" s="298" t="str">
        <f>IF(DataSiswa!B38="",""," "&amp;DataSiswa!B38)</f>
        <v xml:space="preserve"> 9980816670</v>
      </c>
      <c r="E39" s="299" t="str">
        <f>IF(DataSiswa!C38="",""," "&amp;DataSiswa!C38)</f>
        <v xml:space="preserve"> Vonny Maitaveri</v>
      </c>
      <c r="F39" s="300" t="str">
        <f>IF(DataSiswa!D38="",""," "&amp;DataSiswa!D38)</f>
        <v xml:space="preserve"> Perempuan</v>
      </c>
      <c r="G39" s="314" t="s">
        <v>36</v>
      </c>
      <c r="H39" s="314" t="s">
        <v>36</v>
      </c>
      <c r="I39" s="314" t="s">
        <v>36</v>
      </c>
      <c r="J39" s="27">
        <f t="shared" si="0"/>
        <v>0</v>
      </c>
      <c r="K39" s="57"/>
    </row>
    <row r="40" spans="2:11" ht="16.5" customHeight="1">
      <c r="B40" s="57"/>
      <c r="C40" s="298">
        <v>32</v>
      </c>
      <c r="D40" s="298" t="str">
        <f>IF(DataSiswa!B39="",""," "&amp;DataSiswa!B39)</f>
        <v xml:space="preserve"> 9982889268</v>
      </c>
      <c r="E40" s="299" t="str">
        <f>IF(DataSiswa!C39="",""," "&amp;DataSiswa!C39)</f>
        <v xml:space="preserve"> Wahyu Yolanda</v>
      </c>
      <c r="F40" s="300" t="str">
        <f>IF(DataSiswa!D39="",""," "&amp;DataSiswa!D39)</f>
        <v xml:space="preserve"> Perempuan</v>
      </c>
      <c r="G40" s="314" t="s">
        <v>36</v>
      </c>
      <c r="H40" s="314" t="s">
        <v>36</v>
      </c>
      <c r="I40" s="314" t="s">
        <v>36</v>
      </c>
      <c r="J40" s="27">
        <f t="shared" si="0"/>
        <v>0</v>
      </c>
      <c r="K40" s="57"/>
    </row>
    <row r="41" spans="2:11" ht="16.5" customHeight="1">
      <c r="B41" s="57"/>
      <c r="C41" s="298">
        <v>33</v>
      </c>
      <c r="D41" s="298" t="str">
        <f>IF(DataSiswa!B40="",""," "&amp;DataSiswa!B40)</f>
        <v/>
      </c>
      <c r="E41" s="299" t="str">
        <f>IF(DataSiswa!C40="",""," "&amp;DataSiswa!C40)</f>
        <v/>
      </c>
      <c r="F41" s="300" t="str">
        <f>IF(DataSiswa!D40="",""," "&amp;DataSiswa!D40)</f>
        <v/>
      </c>
      <c r="G41" s="27"/>
      <c r="H41" s="27"/>
      <c r="I41" s="27"/>
      <c r="J41" s="27">
        <f t="shared" ref="J41:J48" si="1">SUM(G41:I41)</f>
        <v>0</v>
      </c>
      <c r="K41" s="57"/>
    </row>
    <row r="42" spans="2:11" ht="16.5" customHeight="1">
      <c r="B42" s="57"/>
      <c r="C42" s="298">
        <v>34</v>
      </c>
      <c r="D42" s="298" t="str">
        <f>IF(DataSiswa!B41="",""," "&amp;DataSiswa!B41)</f>
        <v/>
      </c>
      <c r="E42" s="299" t="str">
        <f>IF(DataSiswa!C41="",""," "&amp;DataSiswa!C41)</f>
        <v/>
      </c>
      <c r="F42" s="300" t="str">
        <f>IF(DataSiswa!D41="",""," "&amp;DataSiswa!D41)</f>
        <v/>
      </c>
      <c r="G42" s="27"/>
      <c r="H42" s="27"/>
      <c r="I42" s="27"/>
      <c r="J42" s="27">
        <f t="shared" si="1"/>
        <v>0</v>
      </c>
      <c r="K42" s="57"/>
    </row>
    <row r="43" spans="2:11" ht="16.5" customHeight="1">
      <c r="B43" s="57"/>
      <c r="C43" s="298">
        <v>35</v>
      </c>
      <c r="D43" s="298" t="str">
        <f>IF(DataSiswa!B42="",""," "&amp;DataSiswa!B42)</f>
        <v/>
      </c>
      <c r="E43" s="299" t="str">
        <f>IF(DataSiswa!C42="",""," "&amp;DataSiswa!C42)</f>
        <v/>
      </c>
      <c r="F43" s="300" t="str">
        <f>IF(DataSiswa!D42="",""," "&amp;DataSiswa!D42)</f>
        <v/>
      </c>
      <c r="G43" s="27"/>
      <c r="H43" s="27"/>
      <c r="I43" s="27"/>
      <c r="J43" s="27">
        <f t="shared" si="1"/>
        <v>0</v>
      </c>
      <c r="K43" s="57"/>
    </row>
    <row r="44" spans="2:11" ht="16.5" customHeight="1">
      <c r="B44" s="57"/>
      <c r="C44" s="298">
        <v>36</v>
      </c>
      <c r="D44" s="298" t="str">
        <f>IF(DataSiswa!B43="",""," "&amp;DataSiswa!B43)</f>
        <v/>
      </c>
      <c r="E44" s="299" t="str">
        <f>IF(DataSiswa!C43="",""," "&amp;DataSiswa!C43)</f>
        <v/>
      </c>
      <c r="F44" s="300" t="str">
        <f>IF(DataSiswa!D43="",""," "&amp;DataSiswa!D43)</f>
        <v/>
      </c>
      <c r="G44" s="27"/>
      <c r="H44" s="27"/>
      <c r="I44" s="27"/>
      <c r="J44" s="27">
        <f t="shared" si="1"/>
        <v>0</v>
      </c>
      <c r="K44" s="57"/>
    </row>
    <row r="45" spans="2:11" ht="16.5" customHeight="1">
      <c r="B45" s="57"/>
      <c r="C45" s="298">
        <v>37</v>
      </c>
      <c r="D45" s="298" t="str">
        <f>IF(DataSiswa!B44="",""," "&amp;DataSiswa!B44)</f>
        <v/>
      </c>
      <c r="E45" s="299" t="str">
        <f>IF(DataSiswa!C44="",""," "&amp;DataSiswa!C44)</f>
        <v/>
      </c>
      <c r="F45" s="300" t="str">
        <f>IF(DataSiswa!D44="",""," "&amp;DataSiswa!D44)</f>
        <v/>
      </c>
      <c r="G45" s="27"/>
      <c r="H45" s="27"/>
      <c r="I45" s="27"/>
      <c r="J45" s="27">
        <f t="shared" si="1"/>
        <v>0</v>
      </c>
      <c r="K45" s="57"/>
    </row>
    <row r="46" spans="2:11" ht="16.5" customHeight="1">
      <c r="B46" s="57"/>
      <c r="C46" s="298">
        <v>38</v>
      </c>
      <c r="D46" s="298" t="str">
        <f>IF(DataSiswa!B45="",""," "&amp;DataSiswa!B45)</f>
        <v/>
      </c>
      <c r="E46" s="299" t="str">
        <f>IF(DataSiswa!C45="",""," "&amp;DataSiswa!C45)</f>
        <v/>
      </c>
      <c r="F46" s="300" t="str">
        <f>IF(DataSiswa!D45="",""," "&amp;DataSiswa!D45)</f>
        <v/>
      </c>
      <c r="G46" s="27"/>
      <c r="H46" s="27"/>
      <c r="I46" s="27"/>
      <c r="J46" s="27">
        <f t="shared" si="1"/>
        <v>0</v>
      </c>
      <c r="K46" s="57"/>
    </row>
    <row r="47" spans="2:11" ht="16.5" customHeight="1">
      <c r="B47" s="57"/>
      <c r="C47" s="298">
        <v>39</v>
      </c>
      <c r="D47" s="298" t="str">
        <f>IF(DataSiswa!B46="",""," "&amp;DataSiswa!B46)</f>
        <v/>
      </c>
      <c r="E47" s="299" t="str">
        <f>IF(DataSiswa!C46="",""," "&amp;DataSiswa!C46)</f>
        <v/>
      </c>
      <c r="F47" s="300" t="str">
        <f>IF(DataSiswa!D46="",""," "&amp;DataSiswa!D46)</f>
        <v/>
      </c>
      <c r="G47" s="27"/>
      <c r="H47" s="27"/>
      <c r="I47" s="27"/>
      <c r="J47" s="27">
        <f t="shared" si="1"/>
        <v>0</v>
      </c>
      <c r="K47" s="57"/>
    </row>
    <row r="48" spans="2:11" ht="16.5" customHeight="1">
      <c r="B48" s="57"/>
      <c r="C48" s="298">
        <v>40</v>
      </c>
      <c r="D48" s="298" t="str">
        <f>IF(DataSiswa!B47="",""," "&amp;DataSiswa!B47)</f>
        <v/>
      </c>
      <c r="E48" s="299" t="str">
        <f>IF(DataSiswa!C47="",""," "&amp;DataSiswa!C47)</f>
        <v/>
      </c>
      <c r="F48" s="300" t="str">
        <f>IF(DataSiswa!D47="",""," "&amp;DataSiswa!D47)</f>
        <v/>
      </c>
      <c r="G48" s="27"/>
      <c r="H48" s="27"/>
      <c r="I48" s="27"/>
      <c r="J48" s="27">
        <f t="shared" si="1"/>
        <v>0</v>
      </c>
      <c r="K48" s="57"/>
    </row>
    <row r="49" spans="2:11" ht="16.5" customHeight="1">
      <c r="B49" s="57"/>
      <c r="C49" s="58"/>
      <c r="D49" s="58"/>
      <c r="E49" s="59"/>
      <c r="F49" s="58"/>
      <c r="G49" s="58"/>
      <c r="H49" s="58"/>
      <c r="I49" s="58"/>
      <c r="J49" s="58"/>
      <c r="K49" s="57"/>
    </row>
    <row r="50" spans="2:11" ht="16.5" customHeight="1">
      <c r="C50" s="538"/>
      <c r="D50" s="538"/>
      <c r="E50" s="538"/>
      <c r="F50" s="152"/>
      <c r="G50" s="152"/>
      <c r="H50" s="152"/>
      <c r="I50" s="152"/>
      <c r="J50" s="28"/>
    </row>
  </sheetData>
  <mergeCells count="9">
    <mergeCell ref="C50:E50"/>
    <mergeCell ref="C3:J3"/>
    <mergeCell ref="C4:J4"/>
    <mergeCell ref="C5:J5"/>
    <mergeCell ref="C7:C8"/>
    <mergeCell ref="E7:E8"/>
    <mergeCell ref="F7:F8"/>
    <mergeCell ref="G7:J7"/>
    <mergeCell ref="D7:D8"/>
  </mergeCells>
  <pageMargins left="0.70866141732283472" right="0.70866141732283472" top="0.74803149606299213" bottom="0.74803149606299213" header="0.31496062992125984" footer="0.31496062992125984"/>
  <pageSetup paperSize="5"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B1:M54"/>
  <sheetViews>
    <sheetView topLeftCell="A40" zoomScale="60" zoomScaleNormal="60" workbookViewId="0">
      <selection activeCell="J46" sqref="J46"/>
    </sheetView>
  </sheetViews>
  <sheetFormatPr defaultRowHeight="15"/>
  <cols>
    <col min="1" max="1" width="9.140625" style="61"/>
    <col min="2" max="2" width="7.4257812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301</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DataGuru!C20</f>
        <v>Pendidikan Agama</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DataGuru!D20</f>
        <v>Dra.Amna Nurdin</v>
      </c>
      <c r="F9" s="566">
        <f>DataGuru!E20</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39.950000000000003" customHeight="1">
      <c r="B14" s="76">
        <v>1</v>
      </c>
      <c r="C14" s="77" t="str">
        <f>DataSiswa!B8</f>
        <v>9986980442</v>
      </c>
      <c r="D14" s="78" t="str">
        <f>DataSiswa!C8</f>
        <v>Aditya Taufik Sastra</v>
      </c>
      <c r="E14" s="394">
        <v>87</v>
      </c>
      <c r="F14" s="317">
        <v>94</v>
      </c>
      <c r="G14" s="80" t="s">
        <v>334</v>
      </c>
      <c r="H14" s="227">
        <f>(E14/100)*4</f>
        <v>3.48</v>
      </c>
      <c r="I14" s="227">
        <f>(F14/100)*4</f>
        <v>3.76</v>
      </c>
      <c r="J14" s="93" t="s">
        <v>702</v>
      </c>
      <c r="K14" s="96" t="s">
        <v>700</v>
      </c>
      <c r="L14" s="238" t="s">
        <v>701</v>
      </c>
      <c r="M14" s="81"/>
    </row>
    <row r="15" spans="2:13" ht="39.950000000000003" customHeight="1">
      <c r="B15" s="76">
        <v>2</v>
      </c>
      <c r="C15" s="77" t="str">
        <f>DataSiswa!B9</f>
        <v>9982907972</v>
      </c>
      <c r="D15" s="78" t="str">
        <f>DataSiswa!C9</f>
        <v>Angger Ghufron Pangestu</v>
      </c>
      <c r="E15" s="394">
        <v>81</v>
      </c>
      <c r="F15" s="317">
        <v>80</v>
      </c>
      <c r="G15" s="80" t="s">
        <v>24</v>
      </c>
      <c r="H15" s="227">
        <f t="shared" ref="H15:H53" si="0">(E15/100)*4</f>
        <v>3.24</v>
      </c>
      <c r="I15" s="227">
        <f t="shared" ref="I15:I53" si="1">(F15/100)*4</f>
        <v>3.2</v>
      </c>
      <c r="J15" s="93" t="s">
        <v>702</v>
      </c>
      <c r="K15" s="96" t="s">
        <v>700</v>
      </c>
      <c r="L15" s="238" t="s">
        <v>701</v>
      </c>
      <c r="M15" s="82"/>
    </row>
    <row r="16" spans="2:13" ht="39.950000000000003" customHeight="1">
      <c r="B16" s="76">
        <v>3</v>
      </c>
      <c r="C16" s="77" t="str">
        <f>DataSiswa!B10</f>
        <v>9983601594</v>
      </c>
      <c r="D16" s="78" t="str">
        <f>DataSiswa!C10</f>
        <v>Anjellia Novia Safitri</v>
      </c>
      <c r="E16" s="394">
        <v>85</v>
      </c>
      <c r="F16" s="317">
        <v>94</v>
      </c>
      <c r="G16" s="80" t="s">
        <v>334</v>
      </c>
      <c r="H16" s="227">
        <f t="shared" si="0"/>
        <v>3.4</v>
      </c>
      <c r="I16" s="227">
        <f t="shared" si="1"/>
        <v>3.76</v>
      </c>
      <c r="J16" s="93" t="s">
        <v>702</v>
      </c>
      <c r="K16" s="96" t="s">
        <v>700</v>
      </c>
      <c r="L16" s="238" t="s">
        <v>701</v>
      </c>
      <c r="M16" s="82"/>
    </row>
    <row r="17" spans="2:13" ht="39.950000000000003" customHeight="1">
      <c r="B17" s="76">
        <v>4</v>
      </c>
      <c r="C17" s="77" t="str">
        <f>DataSiswa!B11</f>
        <v>9989091797</v>
      </c>
      <c r="D17" s="78" t="str">
        <f>DataSiswa!C11</f>
        <v>Azis Fahrozi</v>
      </c>
      <c r="E17" s="394">
        <v>80</v>
      </c>
      <c r="F17" s="317">
        <v>82</v>
      </c>
      <c r="G17" s="80" t="s">
        <v>24</v>
      </c>
      <c r="H17" s="227">
        <f t="shared" si="0"/>
        <v>3.2</v>
      </c>
      <c r="I17" s="227">
        <f t="shared" si="1"/>
        <v>3.28</v>
      </c>
      <c r="J17" s="93" t="s">
        <v>702</v>
      </c>
      <c r="K17" s="96" t="s">
        <v>700</v>
      </c>
      <c r="L17" s="238" t="s">
        <v>701</v>
      </c>
      <c r="M17" s="82"/>
    </row>
    <row r="18" spans="2:13" ht="39.950000000000003" customHeight="1">
      <c r="B18" s="76">
        <v>5</v>
      </c>
      <c r="C18" s="77" t="str">
        <f>DataSiswa!B12</f>
        <v>9989983501</v>
      </c>
      <c r="D18" s="78" t="str">
        <f>DataSiswa!C12</f>
        <v>Berliana Monica</v>
      </c>
      <c r="E18" s="394">
        <v>89</v>
      </c>
      <c r="F18" s="317">
        <v>96</v>
      </c>
      <c r="G18" s="80" t="s">
        <v>334</v>
      </c>
      <c r="H18" s="227">
        <f t="shared" si="0"/>
        <v>3.56</v>
      </c>
      <c r="I18" s="227">
        <f t="shared" si="1"/>
        <v>3.84</v>
      </c>
      <c r="J18" s="93" t="s">
        <v>702</v>
      </c>
      <c r="K18" s="96" t="s">
        <v>700</v>
      </c>
      <c r="L18" s="238" t="s">
        <v>701</v>
      </c>
      <c r="M18" s="82"/>
    </row>
    <row r="19" spans="2:13" ht="39.950000000000003" customHeight="1">
      <c r="B19" s="76">
        <v>6</v>
      </c>
      <c r="C19" s="77" t="str">
        <f>DataSiswa!B13</f>
        <v>9970817548</v>
      </c>
      <c r="D19" s="78" t="str">
        <f>DataSiswa!C13</f>
        <v>Defri Nofriadi</v>
      </c>
      <c r="E19" s="394">
        <v>90</v>
      </c>
      <c r="F19" s="317">
        <v>96</v>
      </c>
      <c r="G19" s="80" t="s">
        <v>334</v>
      </c>
      <c r="H19" s="227">
        <f t="shared" si="0"/>
        <v>3.6</v>
      </c>
      <c r="I19" s="227">
        <f t="shared" si="1"/>
        <v>3.84</v>
      </c>
      <c r="J19" s="93" t="s">
        <v>702</v>
      </c>
      <c r="K19" s="96" t="s">
        <v>700</v>
      </c>
      <c r="L19" s="238" t="s">
        <v>701</v>
      </c>
      <c r="M19" s="82"/>
    </row>
    <row r="20" spans="2:13" ht="39.950000000000003" customHeight="1">
      <c r="B20" s="76">
        <v>7</v>
      </c>
      <c r="C20" s="77" t="str">
        <f>DataSiswa!B14</f>
        <v>9980817555</v>
      </c>
      <c r="D20" s="78" t="str">
        <f>DataSiswa!C14</f>
        <v>Dina Mardana Dulas</v>
      </c>
      <c r="E20" s="394">
        <v>84</v>
      </c>
      <c r="F20" s="317">
        <v>90</v>
      </c>
      <c r="G20" s="80" t="s">
        <v>24</v>
      </c>
      <c r="H20" s="227">
        <f t="shared" si="0"/>
        <v>3.36</v>
      </c>
      <c r="I20" s="227">
        <f t="shared" si="1"/>
        <v>3.6</v>
      </c>
      <c r="J20" s="93" t="s">
        <v>702</v>
      </c>
      <c r="K20" s="96" t="s">
        <v>700</v>
      </c>
      <c r="L20" s="238" t="s">
        <v>701</v>
      </c>
      <c r="M20" s="82"/>
    </row>
    <row r="21" spans="2:13" ht="39.950000000000003" customHeight="1">
      <c r="B21" s="76">
        <v>8</v>
      </c>
      <c r="C21" s="77" t="str">
        <f>DataSiswa!B15</f>
        <v>9980817812</v>
      </c>
      <c r="D21" s="78" t="str">
        <f>DataSiswa!C15</f>
        <v>Famella Putriadi</v>
      </c>
      <c r="E21" s="394">
        <v>85</v>
      </c>
      <c r="F21" s="317">
        <v>93</v>
      </c>
      <c r="G21" s="80" t="s">
        <v>24</v>
      </c>
      <c r="H21" s="227">
        <f t="shared" si="0"/>
        <v>3.4</v>
      </c>
      <c r="I21" s="227">
        <f t="shared" si="1"/>
        <v>3.72</v>
      </c>
      <c r="J21" s="93" t="s">
        <v>702</v>
      </c>
      <c r="K21" s="96" t="s">
        <v>700</v>
      </c>
      <c r="L21" s="238" t="s">
        <v>701</v>
      </c>
      <c r="M21" s="82"/>
    </row>
    <row r="22" spans="2:13" ht="39.950000000000003" customHeight="1">
      <c r="B22" s="76">
        <v>9</v>
      </c>
      <c r="C22" s="77" t="str">
        <f>DataSiswa!B16</f>
        <v>9986349049</v>
      </c>
      <c r="D22" s="78" t="str">
        <f>DataSiswa!C16</f>
        <v>Febrawati Fajlynd</v>
      </c>
      <c r="E22" s="394">
        <v>84</v>
      </c>
      <c r="F22" s="317">
        <v>84</v>
      </c>
      <c r="G22" s="80" t="s">
        <v>24</v>
      </c>
      <c r="H22" s="227">
        <f t="shared" si="0"/>
        <v>3.36</v>
      </c>
      <c r="I22" s="227">
        <f t="shared" si="1"/>
        <v>3.36</v>
      </c>
      <c r="J22" s="93" t="s">
        <v>702</v>
      </c>
      <c r="K22" s="96" t="s">
        <v>700</v>
      </c>
      <c r="L22" s="238" t="s">
        <v>701</v>
      </c>
      <c r="M22" s="82"/>
    </row>
    <row r="23" spans="2:13" ht="39.950000000000003" customHeight="1">
      <c r="B23" s="76">
        <v>10</v>
      </c>
      <c r="C23" s="77" t="str">
        <f>DataSiswa!B17</f>
        <v>9980673410</v>
      </c>
      <c r="D23" s="78" t="str">
        <f>DataSiswa!C17</f>
        <v>Fierro Perdana Ibrahim</v>
      </c>
      <c r="E23" s="394">
        <v>80</v>
      </c>
      <c r="F23" s="317">
        <v>80</v>
      </c>
      <c r="G23" s="80" t="s">
        <v>24</v>
      </c>
      <c r="H23" s="227">
        <f t="shared" si="0"/>
        <v>3.2</v>
      </c>
      <c r="I23" s="227">
        <f t="shared" si="1"/>
        <v>3.2</v>
      </c>
      <c r="J23" s="93" t="s">
        <v>702</v>
      </c>
      <c r="K23" s="96" t="s">
        <v>700</v>
      </c>
      <c r="L23" s="238" t="s">
        <v>701</v>
      </c>
      <c r="M23" s="82"/>
    </row>
    <row r="24" spans="2:13" ht="39.950000000000003" customHeight="1">
      <c r="B24" s="76">
        <v>11</v>
      </c>
      <c r="C24" s="77" t="str">
        <f>DataSiswa!B18</f>
        <v>9980817833</v>
      </c>
      <c r="D24" s="78" t="str">
        <f>DataSiswa!C18</f>
        <v>Jihan Salsabilla</v>
      </c>
      <c r="E24" s="394">
        <v>91</v>
      </c>
      <c r="F24" s="317">
        <v>96</v>
      </c>
      <c r="G24" s="80" t="s">
        <v>334</v>
      </c>
      <c r="H24" s="227">
        <f t="shared" si="0"/>
        <v>3.64</v>
      </c>
      <c r="I24" s="227">
        <f t="shared" si="1"/>
        <v>3.84</v>
      </c>
      <c r="J24" s="93" t="s">
        <v>702</v>
      </c>
      <c r="K24" s="96" t="s">
        <v>700</v>
      </c>
      <c r="L24" s="238" t="s">
        <v>701</v>
      </c>
      <c r="M24" s="82"/>
    </row>
    <row r="25" spans="2:13" ht="39.950000000000003" customHeight="1">
      <c r="B25" s="76">
        <v>12</v>
      </c>
      <c r="C25" s="77" t="str">
        <f>DataSiswa!B19</f>
        <v>9980065874</v>
      </c>
      <c r="D25" s="78" t="str">
        <f>DataSiswa!C19</f>
        <v>Karina Safira Rannas</v>
      </c>
      <c r="E25" s="394">
        <v>82</v>
      </c>
      <c r="F25" s="317">
        <v>83</v>
      </c>
      <c r="G25" s="80" t="s">
        <v>334</v>
      </c>
      <c r="H25" s="227">
        <f t="shared" si="0"/>
        <v>3.28</v>
      </c>
      <c r="I25" s="227">
        <f t="shared" si="1"/>
        <v>3.32</v>
      </c>
      <c r="J25" s="93" t="s">
        <v>702</v>
      </c>
      <c r="K25" s="96" t="s">
        <v>700</v>
      </c>
      <c r="L25" s="238" t="s">
        <v>701</v>
      </c>
      <c r="M25" s="82"/>
    </row>
    <row r="26" spans="2:13" ht="39.950000000000003" customHeight="1">
      <c r="B26" s="76">
        <v>13</v>
      </c>
      <c r="C26" s="77" t="str">
        <f>DataSiswa!B20</f>
        <v>9970816998</v>
      </c>
      <c r="D26" s="78" t="str">
        <f>DataSiswa!C20</f>
        <v>Loura Oktaviola</v>
      </c>
      <c r="E26" s="394">
        <v>88</v>
      </c>
      <c r="F26" s="317">
        <v>94</v>
      </c>
      <c r="G26" s="80" t="s">
        <v>334</v>
      </c>
      <c r="H26" s="227">
        <f t="shared" si="0"/>
        <v>3.52</v>
      </c>
      <c r="I26" s="227">
        <f t="shared" si="1"/>
        <v>3.76</v>
      </c>
      <c r="J26" s="93" t="s">
        <v>702</v>
      </c>
      <c r="K26" s="96" t="s">
        <v>700</v>
      </c>
      <c r="L26" s="238" t="s">
        <v>701</v>
      </c>
      <c r="M26" s="84"/>
    </row>
    <row r="27" spans="2:13" ht="39.950000000000003" customHeight="1">
      <c r="B27" s="76">
        <v>14</v>
      </c>
      <c r="C27" s="77" t="str">
        <f>DataSiswa!B21</f>
        <v>9982095456</v>
      </c>
      <c r="D27" s="78" t="str">
        <f>DataSiswa!C21</f>
        <v>Lauren Dwina Arini</v>
      </c>
      <c r="E27" s="394">
        <v>85</v>
      </c>
      <c r="F27" s="317">
        <v>84</v>
      </c>
      <c r="G27" s="80" t="s">
        <v>24</v>
      </c>
      <c r="H27" s="227">
        <f t="shared" si="0"/>
        <v>3.4</v>
      </c>
      <c r="I27" s="227">
        <f t="shared" si="1"/>
        <v>3.36</v>
      </c>
      <c r="J27" s="93" t="s">
        <v>702</v>
      </c>
      <c r="K27" s="96" t="s">
        <v>700</v>
      </c>
      <c r="L27" s="238" t="s">
        <v>701</v>
      </c>
      <c r="M27" s="85"/>
    </row>
    <row r="28" spans="2:13" ht="39.950000000000003" customHeight="1">
      <c r="B28" s="76">
        <v>15</v>
      </c>
      <c r="C28" s="77" t="str">
        <f>DataSiswa!B22</f>
        <v>9980817839</v>
      </c>
      <c r="D28" s="78" t="str">
        <f>DataSiswa!C22</f>
        <v>Leoni Syagna Velia</v>
      </c>
      <c r="E28" s="394">
        <v>91</v>
      </c>
      <c r="F28" s="317">
        <v>94</v>
      </c>
      <c r="G28" s="79" t="s">
        <v>334</v>
      </c>
      <c r="H28" s="227">
        <f t="shared" si="0"/>
        <v>3.64</v>
      </c>
      <c r="I28" s="227">
        <f t="shared" si="1"/>
        <v>3.76</v>
      </c>
      <c r="J28" s="93" t="s">
        <v>702</v>
      </c>
      <c r="K28" s="96" t="s">
        <v>700</v>
      </c>
      <c r="L28" s="238" t="s">
        <v>701</v>
      </c>
      <c r="M28" s="85"/>
    </row>
    <row r="29" spans="2:13" ht="39.950000000000003" customHeight="1">
      <c r="B29" s="76">
        <v>16</v>
      </c>
      <c r="C29" s="77" t="str">
        <f>DataSiswa!B23</f>
        <v>9982885002</v>
      </c>
      <c r="D29" s="78" t="str">
        <f>DataSiswa!C23</f>
        <v>Mia Larisa Waskito</v>
      </c>
      <c r="E29" s="394">
        <v>91</v>
      </c>
      <c r="F29" s="317">
        <v>95</v>
      </c>
      <c r="G29" s="79" t="s">
        <v>334</v>
      </c>
      <c r="H29" s="227">
        <f t="shared" si="0"/>
        <v>3.64</v>
      </c>
      <c r="I29" s="227">
        <f t="shared" si="1"/>
        <v>3.8</v>
      </c>
      <c r="J29" s="93" t="s">
        <v>702</v>
      </c>
      <c r="K29" s="96" t="s">
        <v>700</v>
      </c>
      <c r="L29" s="238" t="s">
        <v>701</v>
      </c>
      <c r="M29" s="85"/>
    </row>
    <row r="30" spans="2:13" ht="39.950000000000003" customHeight="1">
      <c r="B30" s="76">
        <v>17</v>
      </c>
      <c r="C30" s="77" t="str">
        <f>DataSiswa!B24</f>
        <v>9983996707</v>
      </c>
      <c r="D30" s="78" t="str">
        <f>DataSiswa!C24</f>
        <v>Muhammad Fadel</v>
      </c>
      <c r="E30" s="394">
        <v>91</v>
      </c>
      <c r="F30" s="317">
        <v>96</v>
      </c>
      <c r="G30" s="79" t="s">
        <v>334</v>
      </c>
      <c r="H30" s="227">
        <f t="shared" si="0"/>
        <v>3.64</v>
      </c>
      <c r="I30" s="227">
        <f t="shared" si="1"/>
        <v>3.84</v>
      </c>
      <c r="J30" s="93" t="s">
        <v>702</v>
      </c>
      <c r="K30" s="96" t="s">
        <v>700</v>
      </c>
      <c r="L30" s="238" t="s">
        <v>701</v>
      </c>
      <c r="M30" s="85"/>
    </row>
    <row r="31" spans="2:13" ht="39.950000000000003" customHeight="1">
      <c r="B31" s="76">
        <v>18</v>
      </c>
      <c r="C31" s="77" t="str">
        <f>DataSiswa!B25</f>
        <v>9981328630</v>
      </c>
      <c r="D31" s="78" t="str">
        <f>DataSiswa!C25</f>
        <v>Muhammad Ilham Fajri</v>
      </c>
      <c r="E31" s="394">
        <v>89</v>
      </c>
      <c r="F31" s="317">
        <v>95</v>
      </c>
      <c r="G31" s="79" t="s">
        <v>334</v>
      </c>
      <c r="H31" s="227">
        <f t="shared" si="0"/>
        <v>3.56</v>
      </c>
      <c r="I31" s="227">
        <f t="shared" si="1"/>
        <v>3.8</v>
      </c>
      <c r="J31" s="93" t="s">
        <v>702</v>
      </c>
      <c r="K31" s="96" t="s">
        <v>700</v>
      </c>
      <c r="L31" s="238" t="s">
        <v>701</v>
      </c>
      <c r="M31" s="85"/>
    </row>
    <row r="32" spans="2:13" ht="39.950000000000003" customHeight="1">
      <c r="B32" s="76">
        <v>19</v>
      </c>
      <c r="C32" s="77" t="str">
        <f>DataSiswa!B26</f>
        <v>9980830799</v>
      </c>
      <c r="D32" s="78" t="str">
        <f>DataSiswa!C26</f>
        <v>Muhammad Irfan</v>
      </c>
      <c r="E32" s="394">
        <v>92</v>
      </c>
      <c r="F32" s="317">
        <v>96</v>
      </c>
      <c r="G32" s="79" t="s">
        <v>334</v>
      </c>
      <c r="H32" s="227">
        <f t="shared" si="0"/>
        <v>3.68</v>
      </c>
      <c r="I32" s="227">
        <f t="shared" si="1"/>
        <v>3.84</v>
      </c>
      <c r="J32" s="93" t="s">
        <v>702</v>
      </c>
      <c r="K32" s="96" t="s">
        <v>700</v>
      </c>
      <c r="L32" s="238" t="s">
        <v>701</v>
      </c>
      <c r="M32" s="85"/>
    </row>
    <row r="33" spans="2:13" ht="39.950000000000003" customHeight="1">
      <c r="B33" s="76">
        <v>20</v>
      </c>
      <c r="C33" s="77" t="str">
        <f>DataSiswa!B27</f>
        <v>9981704177</v>
      </c>
      <c r="D33" s="78" t="str">
        <f>DataSiswa!C27</f>
        <v>Naura Cantika</v>
      </c>
      <c r="E33" s="394">
        <v>92</v>
      </c>
      <c r="F33" s="317">
        <v>94</v>
      </c>
      <c r="G33" s="79" t="s">
        <v>334</v>
      </c>
      <c r="H33" s="227">
        <f t="shared" si="0"/>
        <v>3.68</v>
      </c>
      <c r="I33" s="227">
        <f t="shared" si="1"/>
        <v>3.76</v>
      </c>
      <c r="J33" s="93" t="s">
        <v>702</v>
      </c>
      <c r="K33" s="96" t="s">
        <v>700</v>
      </c>
      <c r="L33" s="238" t="s">
        <v>701</v>
      </c>
      <c r="M33" s="85"/>
    </row>
    <row r="34" spans="2:13" ht="39.950000000000003" customHeight="1">
      <c r="B34" s="76">
        <v>21</v>
      </c>
      <c r="C34" s="77" t="str">
        <f>DataSiswa!B28</f>
        <v>9980810523</v>
      </c>
      <c r="D34" s="78" t="str">
        <f>DataSiswa!C28</f>
        <v>Nurul Putri Salsabila</v>
      </c>
      <c r="E34" s="394">
        <v>85</v>
      </c>
      <c r="F34" s="317">
        <v>85</v>
      </c>
      <c r="G34" s="79" t="s">
        <v>24</v>
      </c>
      <c r="H34" s="227">
        <f t="shared" si="0"/>
        <v>3.4</v>
      </c>
      <c r="I34" s="227">
        <f t="shared" si="1"/>
        <v>3.4</v>
      </c>
      <c r="J34" s="93" t="s">
        <v>702</v>
      </c>
      <c r="K34" s="96" t="s">
        <v>700</v>
      </c>
      <c r="L34" s="238" t="s">
        <v>701</v>
      </c>
      <c r="M34" s="85"/>
    </row>
    <row r="35" spans="2:13" ht="39.950000000000003" customHeight="1">
      <c r="B35" s="76">
        <v>22</v>
      </c>
      <c r="C35" s="77" t="str">
        <f>DataSiswa!B29</f>
        <v>9998982066</v>
      </c>
      <c r="D35" s="78" t="str">
        <f>DataSiswa!C29</f>
        <v>Rafi Fikriya Riza</v>
      </c>
      <c r="E35" s="394">
        <v>90</v>
      </c>
      <c r="F35" s="317">
        <v>95</v>
      </c>
      <c r="G35" s="79" t="s">
        <v>334</v>
      </c>
      <c r="H35" s="227">
        <f t="shared" si="0"/>
        <v>3.6</v>
      </c>
      <c r="I35" s="227">
        <f t="shared" si="1"/>
        <v>3.8</v>
      </c>
      <c r="J35" s="93" t="s">
        <v>702</v>
      </c>
      <c r="K35" s="96" t="s">
        <v>700</v>
      </c>
      <c r="L35" s="238" t="s">
        <v>701</v>
      </c>
      <c r="M35" s="85"/>
    </row>
    <row r="36" spans="2:13" ht="39.950000000000003" customHeight="1">
      <c r="B36" s="76">
        <v>23</v>
      </c>
      <c r="C36" s="77" t="str">
        <f>DataSiswa!B30</f>
        <v>9985967994</v>
      </c>
      <c r="D36" s="78" t="str">
        <f>DataSiswa!C30</f>
        <v>Restu Tria Bahri</v>
      </c>
      <c r="E36" s="394">
        <v>81</v>
      </c>
      <c r="F36" s="317">
        <v>90</v>
      </c>
      <c r="G36" s="79" t="s">
        <v>24</v>
      </c>
      <c r="H36" s="227">
        <f t="shared" si="0"/>
        <v>3.24</v>
      </c>
      <c r="I36" s="227">
        <f t="shared" si="1"/>
        <v>3.6</v>
      </c>
      <c r="J36" s="93" t="s">
        <v>702</v>
      </c>
      <c r="K36" s="96" t="s">
        <v>700</v>
      </c>
      <c r="L36" s="238" t="s">
        <v>701</v>
      </c>
      <c r="M36" s="85"/>
    </row>
    <row r="37" spans="2:13" ht="39.950000000000003" customHeight="1">
      <c r="B37" s="76">
        <v>24</v>
      </c>
      <c r="C37" s="77" t="str">
        <f>DataSiswa!B31</f>
        <v>9980799351</v>
      </c>
      <c r="D37" s="78" t="str">
        <f>DataSiswa!C31</f>
        <v>Rifka Esofita</v>
      </c>
      <c r="E37" s="394">
        <v>90</v>
      </c>
      <c r="F37" s="317">
        <v>95</v>
      </c>
      <c r="G37" s="79" t="s">
        <v>334</v>
      </c>
      <c r="H37" s="227">
        <f t="shared" si="0"/>
        <v>3.6</v>
      </c>
      <c r="I37" s="227">
        <f t="shared" si="1"/>
        <v>3.8</v>
      </c>
      <c r="J37" s="93" t="s">
        <v>702</v>
      </c>
      <c r="K37" s="96" t="s">
        <v>700</v>
      </c>
      <c r="L37" s="238" t="s">
        <v>701</v>
      </c>
      <c r="M37" s="85"/>
    </row>
    <row r="38" spans="2:13" ht="39.950000000000003" customHeight="1">
      <c r="B38" s="76">
        <v>25</v>
      </c>
      <c r="C38" s="77" t="str">
        <f>DataSiswa!B32</f>
        <v>9982095495</v>
      </c>
      <c r="D38" s="78" t="str">
        <f>DataSiswa!C32</f>
        <v>Rifo Ranofan</v>
      </c>
      <c r="E38" s="394">
        <v>83</v>
      </c>
      <c r="F38" s="317">
        <v>85</v>
      </c>
      <c r="G38" s="79" t="s">
        <v>334</v>
      </c>
      <c r="H38" s="227">
        <f t="shared" si="0"/>
        <v>3.32</v>
      </c>
      <c r="I38" s="227">
        <f t="shared" si="1"/>
        <v>3.4</v>
      </c>
      <c r="J38" s="93" t="s">
        <v>702</v>
      </c>
      <c r="K38" s="96" t="s">
        <v>700</v>
      </c>
      <c r="L38" s="238" t="s">
        <v>701</v>
      </c>
      <c r="M38" s="85"/>
    </row>
    <row r="39" spans="2:13" ht="39.950000000000003" customHeight="1">
      <c r="B39" s="76">
        <v>26</v>
      </c>
      <c r="C39" s="77" t="str">
        <f>DataSiswa!B33</f>
        <v>9985858026</v>
      </c>
      <c r="D39" s="78" t="str">
        <f>DataSiswa!C33</f>
        <v>Stephany Widyanti</v>
      </c>
      <c r="E39" s="394">
        <v>88</v>
      </c>
      <c r="F39" s="317">
        <v>95</v>
      </c>
      <c r="G39" s="79" t="s">
        <v>334</v>
      </c>
      <c r="H39" s="227">
        <f t="shared" si="0"/>
        <v>3.52</v>
      </c>
      <c r="I39" s="227">
        <f t="shared" si="1"/>
        <v>3.8</v>
      </c>
      <c r="J39" s="93" t="s">
        <v>702</v>
      </c>
      <c r="K39" s="96" t="s">
        <v>700</v>
      </c>
      <c r="L39" s="238" t="s">
        <v>701</v>
      </c>
      <c r="M39" s="85"/>
    </row>
    <row r="40" spans="2:13" ht="39.950000000000003" customHeight="1">
      <c r="B40" s="76">
        <v>27</v>
      </c>
      <c r="C40" s="77" t="str">
        <f>DataSiswa!B34</f>
        <v>9980818512</v>
      </c>
      <c r="D40" s="78" t="str">
        <f>DataSiswa!C34</f>
        <v>Tiara Yulianti</v>
      </c>
      <c r="E40" s="394">
        <v>89</v>
      </c>
      <c r="F40" s="317">
        <v>95</v>
      </c>
      <c r="G40" s="79" t="s">
        <v>334</v>
      </c>
      <c r="H40" s="227">
        <f t="shared" si="0"/>
        <v>3.56</v>
      </c>
      <c r="I40" s="227">
        <f t="shared" si="1"/>
        <v>3.8</v>
      </c>
      <c r="J40" s="93" t="s">
        <v>702</v>
      </c>
      <c r="K40" s="96" t="s">
        <v>700</v>
      </c>
      <c r="L40" s="238" t="s">
        <v>701</v>
      </c>
      <c r="M40" s="85"/>
    </row>
    <row r="41" spans="2:13" ht="39.950000000000003" customHeight="1">
      <c r="B41" s="76">
        <v>28</v>
      </c>
      <c r="C41" s="77" t="str">
        <f>DataSiswa!B35</f>
        <v>9982393794</v>
      </c>
      <c r="D41" s="78" t="str">
        <f>DataSiswa!C35</f>
        <v>Tika Wandira</v>
      </c>
      <c r="E41" s="394">
        <v>87</v>
      </c>
      <c r="F41" s="317">
        <v>95</v>
      </c>
      <c r="G41" s="79" t="s">
        <v>334</v>
      </c>
      <c r="H41" s="227">
        <f t="shared" si="0"/>
        <v>3.48</v>
      </c>
      <c r="I41" s="227">
        <f t="shared" si="1"/>
        <v>3.8</v>
      </c>
      <c r="J41" s="93" t="s">
        <v>702</v>
      </c>
      <c r="K41" s="96" t="s">
        <v>700</v>
      </c>
      <c r="L41" s="238" t="s">
        <v>701</v>
      </c>
      <c r="M41" s="85"/>
    </row>
    <row r="42" spans="2:13" ht="39.950000000000003" customHeight="1">
      <c r="B42" s="76">
        <v>29</v>
      </c>
      <c r="C42" s="77" t="str">
        <f>DataSiswa!B36</f>
        <v>9980818720</v>
      </c>
      <c r="D42" s="78" t="str">
        <f>DataSiswa!C36</f>
        <v>Ulfa Febriyani</v>
      </c>
      <c r="E42" s="394">
        <v>89</v>
      </c>
      <c r="F42" s="317">
        <v>93</v>
      </c>
      <c r="G42" s="79" t="s">
        <v>334</v>
      </c>
      <c r="H42" s="227">
        <f t="shared" si="0"/>
        <v>3.56</v>
      </c>
      <c r="I42" s="227">
        <f t="shared" si="1"/>
        <v>3.72</v>
      </c>
      <c r="J42" s="93" t="s">
        <v>702</v>
      </c>
      <c r="K42" s="96" t="s">
        <v>700</v>
      </c>
      <c r="L42" s="238" t="s">
        <v>701</v>
      </c>
      <c r="M42" s="85"/>
    </row>
    <row r="43" spans="2:13" ht="39.950000000000003" customHeight="1">
      <c r="B43" s="76">
        <v>30</v>
      </c>
      <c r="C43" s="77" t="str">
        <f>DataSiswa!B37</f>
        <v>9990756408</v>
      </c>
      <c r="D43" s="78" t="str">
        <f>DataSiswa!C37</f>
        <v>Valdy Filando Sardi</v>
      </c>
      <c r="E43" s="394">
        <v>88</v>
      </c>
      <c r="F43" s="317">
        <v>90</v>
      </c>
      <c r="G43" s="79" t="s">
        <v>334</v>
      </c>
      <c r="H43" s="227">
        <f t="shared" si="0"/>
        <v>3.52</v>
      </c>
      <c r="I43" s="227">
        <f t="shared" si="1"/>
        <v>3.6</v>
      </c>
      <c r="J43" s="93" t="s">
        <v>702</v>
      </c>
      <c r="K43" s="96" t="s">
        <v>700</v>
      </c>
      <c r="L43" s="238" t="s">
        <v>701</v>
      </c>
      <c r="M43" s="85"/>
    </row>
    <row r="44" spans="2:13" ht="39.950000000000003" customHeight="1">
      <c r="B44" s="76">
        <v>31</v>
      </c>
      <c r="C44" s="77" t="str">
        <f>DataSiswa!B38</f>
        <v>9980816670</v>
      </c>
      <c r="D44" s="78" t="str">
        <f>DataSiswa!C38</f>
        <v>Vonny Maitaveri</v>
      </c>
      <c r="E44" s="394">
        <v>87</v>
      </c>
      <c r="F44" s="317">
        <v>95</v>
      </c>
      <c r="G44" s="79" t="s">
        <v>334</v>
      </c>
      <c r="H44" s="227">
        <f t="shared" si="0"/>
        <v>3.48</v>
      </c>
      <c r="I44" s="227">
        <f t="shared" si="1"/>
        <v>3.8</v>
      </c>
      <c r="J44" s="93" t="s">
        <v>702</v>
      </c>
      <c r="K44" s="96" t="s">
        <v>700</v>
      </c>
      <c r="L44" s="238" t="s">
        <v>701</v>
      </c>
      <c r="M44" s="85"/>
    </row>
    <row r="45" spans="2:13" ht="39.950000000000003" customHeight="1">
      <c r="B45" s="76">
        <v>32</v>
      </c>
      <c r="C45" s="77" t="str">
        <f>DataSiswa!B39</f>
        <v>9982889268</v>
      </c>
      <c r="D45" s="78" t="str">
        <f>DataSiswa!C39</f>
        <v>Wahyu Yolanda</v>
      </c>
      <c r="E45" s="394">
        <v>90</v>
      </c>
      <c r="F45" s="317">
        <v>96</v>
      </c>
      <c r="G45" s="79" t="s">
        <v>334</v>
      </c>
      <c r="H45" s="227">
        <f>(E45/100)*4</f>
        <v>3.6</v>
      </c>
      <c r="I45" s="227">
        <f t="shared" si="1"/>
        <v>3.84</v>
      </c>
      <c r="J45" s="93" t="s">
        <v>702</v>
      </c>
      <c r="K45" s="96" t="s">
        <v>700</v>
      </c>
      <c r="L45" s="238" t="s">
        <v>701</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88">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4:C4"/>
    <mergeCell ref="B6:C6"/>
    <mergeCell ref="B8:C8"/>
    <mergeCell ref="F8:G8"/>
    <mergeCell ref="B9:C9"/>
    <mergeCell ref="F9:G10"/>
    <mergeCell ref="B10:C10"/>
    <mergeCell ref="J8:J10"/>
    <mergeCell ref="L12:L13"/>
    <mergeCell ref="J12:J13"/>
    <mergeCell ref="K12:K13"/>
    <mergeCell ref="B12:B13"/>
    <mergeCell ref="C12:C13"/>
    <mergeCell ref="D12:D13"/>
    <mergeCell ref="E12:G12"/>
    <mergeCell ref="H12:I12"/>
  </mergeCells>
  <pageMargins left="0.7" right="0.7" top="0.75" bottom="0.75" header="0.3" footer="0.3"/>
  <pageSetup paperSize="5" orientation="portrait" horizontalDpi="4294967292" verticalDpi="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0000"/>
  </sheetPr>
  <dimension ref="B1:M54"/>
  <sheetViews>
    <sheetView topLeftCell="A31" zoomScale="50" zoomScaleNormal="50" workbookViewId="0">
      <selection activeCell="B14" sqref="B14:B53"/>
    </sheetView>
  </sheetViews>
  <sheetFormatPr defaultRowHeight="15"/>
  <cols>
    <col min="1" max="1" width="9.140625" style="61"/>
    <col min="2" max="2" width="7.4257812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DataGuru!C21</f>
        <v>PPKN</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DataGuru!D21</f>
        <v>Ni Wayan Parmiti, S. Pd</v>
      </c>
      <c r="F9" s="566">
        <f>DataGuru!E21</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39.950000000000003" customHeight="1">
      <c r="B14" s="76">
        <v>1</v>
      </c>
      <c r="C14" s="77" t="str">
        <f>DataSiswa!B8</f>
        <v>9986980442</v>
      </c>
      <c r="D14" s="78" t="str">
        <f>DataSiswa!C8</f>
        <v>Aditya Taufik Sastra</v>
      </c>
      <c r="E14" s="242">
        <v>92</v>
      </c>
      <c r="F14" s="79">
        <v>90</v>
      </c>
      <c r="G14" s="80" t="s">
        <v>334</v>
      </c>
      <c r="H14" s="227">
        <f>(E14/100)*4</f>
        <v>3.68</v>
      </c>
      <c r="I14" s="227">
        <f>(F14/100)*4</f>
        <v>3.6</v>
      </c>
      <c r="J14" s="93" t="s">
        <v>698</v>
      </c>
      <c r="K14" s="96" t="s">
        <v>596</v>
      </c>
      <c r="L14" s="238" t="s">
        <v>699</v>
      </c>
      <c r="M14" s="81"/>
    </row>
    <row r="15" spans="2:13" ht="39.950000000000003" customHeight="1">
      <c r="B15" s="76">
        <v>2</v>
      </c>
      <c r="C15" s="77" t="str">
        <f>DataSiswa!B9</f>
        <v>9982907972</v>
      </c>
      <c r="D15" s="78" t="str">
        <f>DataSiswa!C9</f>
        <v>Angger Ghufron Pangestu</v>
      </c>
      <c r="E15" s="242">
        <v>88</v>
      </c>
      <c r="F15" s="79">
        <v>85</v>
      </c>
      <c r="G15" s="80" t="s">
        <v>334</v>
      </c>
      <c r="H15" s="227">
        <f t="shared" ref="H15:H53" si="0">(E15/100)*4</f>
        <v>3.52</v>
      </c>
      <c r="I15" s="227">
        <f t="shared" ref="I15:I53" si="1">(F15/100)*4</f>
        <v>3.4</v>
      </c>
      <c r="J15" s="93" t="s">
        <v>698</v>
      </c>
      <c r="K15" s="96" t="s">
        <v>596</v>
      </c>
      <c r="L15" s="238" t="s">
        <v>699</v>
      </c>
      <c r="M15" s="82"/>
    </row>
    <row r="16" spans="2:13" ht="39.950000000000003" customHeight="1">
      <c r="B16" s="76">
        <v>3</v>
      </c>
      <c r="C16" s="77" t="str">
        <f>DataSiswa!B10</f>
        <v>9983601594</v>
      </c>
      <c r="D16" s="78" t="str">
        <f>DataSiswa!C10</f>
        <v>Anjellia Novia Safitri</v>
      </c>
      <c r="E16" s="242">
        <v>86</v>
      </c>
      <c r="F16" s="79">
        <v>88</v>
      </c>
      <c r="G16" s="80" t="s">
        <v>334</v>
      </c>
      <c r="H16" s="227">
        <f t="shared" si="0"/>
        <v>3.44</v>
      </c>
      <c r="I16" s="227">
        <f t="shared" si="1"/>
        <v>3.52</v>
      </c>
      <c r="J16" s="93" t="s">
        <v>698</v>
      </c>
      <c r="K16" s="96" t="s">
        <v>596</v>
      </c>
      <c r="L16" s="238" t="s">
        <v>699</v>
      </c>
      <c r="M16" s="82"/>
    </row>
    <row r="17" spans="2:13" ht="39.950000000000003" customHeight="1">
      <c r="B17" s="76">
        <v>4</v>
      </c>
      <c r="C17" s="77" t="str">
        <f>DataSiswa!B11</f>
        <v>9989091797</v>
      </c>
      <c r="D17" s="78" t="str">
        <f>DataSiswa!C11</f>
        <v>Azis Fahrozi</v>
      </c>
      <c r="E17" s="242">
        <v>87</v>
      </c>
      <c r="F17" s="79">
        <v>89</v>
      </c>
      <c r="G17" s="80" t="s">
        <v>334</v>
      </c>
      <c r="H17" s="227">
        <f t="shared" si="0"/>
        <v>3.48</v>
      </c>
      <c r="I17" s="227">
        <f t="shared" si="1"/>
        <v>3.56</v>
      </c>
      <c r="J17" s="93" t="s">
        <v>698</v>
      </c>
      <c r="K17" s="96" t="s">
        <v>596</v>
      </c>
      <c r="L17" s="238" t="s">
        <v>699</v>
      </c>
      <c r="M17" s="82"/>
    </row>
    <row r="18" spans="2:13" ht="39.950000000000003" customHeight="1">
      <c r="B18" s="76">
        <v>5</v>
      </c>
      <c r="C18" s="77" t="str">
        <f>DataSiswa!B12</f>
        <v>9989983501</v>
      </c>
      <c r="D18" s="78" t="str">
        <f>DataSiswa!C12</f>
        <v>Berliana Monica</v>
      </c>
      <c r="E18" s="242">
        <v>90</v>
      </c>
      <c r="F18" s="79">
        <v>90</v>
      </c>
      <c r="G18" s="80" t="s">
        <v>334</v>
      </c>
      <c r="H18" s="227">
        <f t="shared" si="0"/>
        <v>3.6</v>
      </c>
      <c r="I18" s="227">
        <f t="shared" si="1"/>
        <v>3.6</v>
      </c>
      <c r="J18" s="93" t="s">
        <v>698</v>
      </c>
      <c r="K18" s="96" t="s">
        <v>596</v>
      </c>
      <c r="L18" s="238" t="s">
        <v>699</v>
      </c>
      <c r="M18" s="82"/>
    </row>
    <row r="19" spans="2:13" ht="39.950000000000003" customHeight="1">
      <c r="B19" s="76">
        <v>6</v>
      </c>
      <c r="C19" s="77" t="str">
        <f>DataSiswa!B13</f>
        <v>9970817548</v>
      </c>
      <c r="D19" s="78" t="str">
        <f>DataSiswa!C13</f>
        <v>Defri Nofriadi</v>
      </c>
      <c r="E19" s="242">
        <v>90</v>
      </c>
      <c r="F19" s="79">
        <v>90</v>
      </c>
      <c r="G19" s="80" t="s">
        <v>334</v>
      </c>
      <c r="H19" s="227">
        <f t="shared" si="0"/>
        <v>3.6</v>
      </c>
      <c r="I19" s="227">
        <f t="shared" si="1"/>
        <v>3.6</v>
      </c>
      <c r="J19" s="93" t="s">
        <v>698</v>
      </c>
      <c r="K19" s="96" t="s">
        <v>596</v>
      </c>
      <c r="L19" s="238" t="s">
        <v>699</v>
      </c>
      <c r="M19" s="82"/>
    </row>
    <row r="20" spans="2:13" ht="39.950000000000003" customHeight="1">
      <c r="B20" s="76">
        <v>7</v>
      </c>
      <c r="C20" s="77" t="str">
        <f>DataSiswa!B14</f>
        <v>9980817555</v>
      </c>
      <c r="D20" s="78" t="str">
        <f>DataSiswa!C14</f>
        <v>Dina Mardana Dulas</v>
      </c>
      <c r="E20" s="242">
        <v>90</v>
      </c>
      <c r="F20" s="79">
        <v>90</v>
      </c>
      <c r="G20" s="80" t="s">
        <v>334</v>
      </c>
      <c r="H20" s="227">
        <f t="shared" si="0"/>
        <v>3.6</v>
      </c>
      <c r="I20" s="227">
        <f t="shared" si="1"/>
        <v>3.6</v>
      </c>
      <c r="J20" s="93" t="s">
        <v>698</v>
      </c>
      <c r="K20" s="96" t="s">
        <v>596</v>
      </c>
      <c r="L20" s="238" t="s">
        <v>699</v>
      </c>
      <c r="M20" s="82"/>
    </row>
    <row r="21" spans="2:13" ht="39.950000000000003" customHeight="1">
      <c r="B21" s="76">
        <v>8</v>
      </c>
      <c r="C21" s="77" t="str">
        <f>DataSiswa!B15</f>
        <v>9980817812</v>
      </c>
      <c r="D21" s="78" t="str">
        <f>DataSiswa!C15</f>
        <v>Famella Putriadi</v>
      </c>
      <c r="E21" s="242">
        <v>91</v>
      </c>
      <c r="F21" s="79">
        <v>90</v>
      </c>
      <c r="G21" s="80" t="s">
        <v>334</v>
      </c>
      <c r="H21" s="227">
        <f t="shared" si="0"/>
        <v>3.64</v>
      </c>
      <c r="I21" s="227">
        <f t="shared" si="1"/>
        <v>3.6</v>
      </c>
      <c r="J21" s="93" t="s">
        <v>698</v>
      </c>
      <c r="K21" s="96" t="s">
        <v>596</v>
      </c>
      <c r="L21" s="238" t="s">
        <v>699</v>
      </c>
      <c r="M21" s="82"/>
    </row>
    <row r="22" spans="2:13" ht="39.950000000000003" customHeight="1">
      <c r="B22" s="76">
        <v>9</v>
      </c>
      <c r="C22" s="77" t="str">
        <f>DataSiswa!B16</f>
        <v>9986349049</v>
      </c>
      <c r="D22" s="78" t="str">
        <f>DataSiswa!C16</f>
        <v>Febrawati Fajlynd</v>
      </c>
      <c r="E22" s="242">
        <v>91</v>
      </c>
      <c r="F22" s="79">
        <v>90</v>
      </c>
      <c r="G22" s="80" t="s">
        <v>334</v>
      </c>
      <c r="H22" s="227">
        <f t="shared" si="0"/>
        <v>3.64</v>
      </c>
      <c r="I22" s="227">
        <f t="shared" si="1"/>
        <v>3.6</v>
      </c>
      <c r="J22" s="93" t="s">
        <v>698</v>
      </c>
      <c r="K22" s="96" t="s">
        <v>596</v>
      </c>
      <c r="L22" s="238" t="s">
        <v>699</v>
      </c>
      <c r="M22" s="82"/>
    </row>
    <row r="23" spans="2:13" ht="39.950000000000003" customHeight="1">
      <c r="B23" s="76">
        <v>10</v>
      </c>
      <c r="C23" s="77" t="str">
        <f>DataSiswa!B17</f>
        <v>9980673410</v>
      </c>
      <c r="D23" s="78" t="str">
        <f>DataSiswa!C17</f>
        <v>Fierro Perdana Ibrahim</v>
      </c>
      <c r="E23" s="242">
        <v>86</v>
      </c>
      <c r="F23" s="79">
        <v>88</v>
      </c>
      <c r="G23" s="80" t="s">
        <v>334</v>
      </c>
      <c r="H23" s="227">
        <f t="shared" si="0"/>
        <v>3.44</v>
      </c>
      <c r="I23" s="227">
        <f t="shared" si="1"/>
        <v>3.52</v>
      </c>
      <c r="J23" s="93" t="s">
        <v>698</v>
      </c>
      <c r="K23" s="96" t="s">
        <v>596</v>
      </c>
      <c r="L23" s="238" t="s">
        <v>699</v>
      </c>
      <c r="M23" s="82"/>
    </row>
    <row r="24" spans="2:13" ht="39.950000000000003" customHeight="1">
      <c r="B24" s="76">
        <v>11</v>
      </c>
      <c r="C24" s="77" t="str">
        <f>DataSiswa!B18</f>
        <v>9980817833</v>
      </c>
      <c r="D24" s="78" t="str">
        <f>DataSiswa!C18</f>
        <v>Jihan Salsabilla</v>
      </c>
      <c r="E24" s="242">
        <v>92</v>
      </c>
      <c r="F24" s="79">
        <v>89</v>
      </c>
      <c r="G24" s="80" t="s">
        <v>334</v>
      </c>
      <c r="H24" s="227">
        <f t="shared" si="0"/>
        <v>3.68</v>
      </c>
      <c r="I24" s="227">
        <f t="shared" si="1"/>
        <v>3.56</v>
      </c>
      <c r="J24" s="93" t="s">
        <v>698</v>
      </c>
      <c r="K24" s="96" t="s">
        <v>597</v>
      </c>
      <c r="L24" s="238" t="s">
        <v>699</v>
      </c>
      <c r="M24" s="82"/>
    </row>
    <row r="25" spans="2:13" ht="39.950000000000003" customHeight="1">
      <c r="B25" s="76">
        <v>12</v>
      </c>
      <c r="C25" s="77" t="str">
        <f>DataSiswa!B19</f>
        <v>9980065874</v>
      </c>
      <c r="D25" s="78" t="str">
        <f>DataSiswa!C19</f>
        <v>Karina Safira Rannas</v>
      </c>
      <c r="E25" s="242">
        <v>86</v>
      </c>
      <c r="F25" s="79">
        <v>89</v>
      </c>
      <c r="G25" s="80" t="s">
        <v>334</v>
      </c>
      <c r="H25" s="227">
        <f t="shared" si="0"/>
        <v>3.44</v>
      </c>
      <c r="I25" s="227">
        <f t="shared" si="1"/>
        <v>3.56</v>
      </c>
      <c r="J25" s="93" t="s">
        <v>698</v>
      </c>
      <c r="K25" s="96" t="s">
        <v>596</v>
      </c>
      <c r="L25" s="238" t="s">
        <v>699</v>
      </c>
      <c r="M25" s="82"/>
    </row>
    <row r="26" spans="2:13" ht="39.950000000000003" customHeight="1">
      <c r="B26" s="76">
        <v>13</v>
      </c>
      <c r="C26" s="77" t="str">
        <f>DataSiswa!B20</f>
        <v>9970816998</v>
      </c>
      <c r="D26" s="78" t="str">
        <f>DataSiswa!C20</f>
        <v>Loura Oktaviola</v>
      </c>
      <c r="E26" s="242">
        <v>86</v>
      </c>
      <c r="F26" s="79">
        <v>90</v>
      </c>
      <c r="G26" s="80" t="s">
        <v>334</v>
      </c>
      <c r="H26" s="227">
        <f t="shared" si="0"/>
        <v>3.44</v>
      </c>
      <c r="I26" s="227">
        <f t="shared" si="1"/>
        <v>3.6</v>
      </c>
      <c r="J26" s="93" t="s">
        <v>698</v>
      </c>
      <c r="K26" s="96" t="s">
        <v>596</v>
      </c>
      <c r="L26" s="238" t="s">
        <v>699</v>
      </c>
      <c r="M26" s="84"/>
    </row>
    <row r="27" spans="2:13" ht="39.950000000000003" customHeight="1">
      <c r="B27" s="76">
        <v>14</v>
      </c>
      <c r="C27" s="77" t="str">
        <f>DataSiswa!B21</f>
        <v>9982095456</v>
      </c>
      <c r="D27" s="78" t="str">
        <f>DataSiswa!C21</f>
        <v>Lauren Dwina Arini</v>
      </c>
      <c r="E27" s="242">
        <v>86</v>
      </c>
      <c r="F27" s="79">
        <v>90</v>
      </c>
      <c r="G27" s="80" t="s">
        <v>334</v>
      </c>
      <c r="H27" s="227">
        <f t="shared" si="0"/>
        <v>3.44</v>
      </c>
      <c r="I27" s="227">
        <f t="shared" si="1"/>
        <v>3.6</v>
      </c>
      <c r="J27" s="93" t="s">
        <v>698</v>
      </c>
      <c r="K27" s="96" t="s">
        <v>596</v>
      </c>
      <c r="L27" s="238" t="s">
        <v>699</v>
      </c>
      <c r="M27" s="85"/>
    </row>
    <row r="28" spans="2:13" ht="39.950000000000003" customHeight="1">
      <c r="B28" s="76">
        <v>15</v>
      </c>
      <c r="C28" s="77" t="str">
        <f>DataSiswa!B22</f>
        <v>9980817839</v>
      </c>
      <c r="D28" s="78" t="str">
        <f>DataSiswa!C22</f>
        <v>Leoni Syagna Velia</v>
      </c>
      <c r="E28" s="242">
        <v>92</v>
      </c>
      <c r="F28" s="79">
        <v>90</v>
      </c>
      <c r="G28" s="79" t="s">
        <v>334</v>
      </c>
      <c r="H28" s="227">
        <f t="shared" si="0"/>
        <v>3.68</v>
      </c>
      <c r="I28" s="227">
        <f t="shared" si="1"/>
        <v>3.6</v>
      </c>
      <c r="J28" s="93" t="s">
        <v>698</v>
      </c>
      <c r="K28" s="425" t="s">
        <v>596</v>
      </c>
      <c r="L28" s="238" t="s">
        <v>699</v>
      </c>
      <c r="M28" s="85"/>
    </row>
    <row r="29" spans="2:13" ht="39.950000000000003" customHeight="1">
      <c r="B29" s="76">
        <v>16</v>
      </c>
      <c r="C29" s="77" t="str">
        <f>DataSiswa!B23</f>
        <v>9982885002</v>
      </c>
      <c r="D29" s="78" t="str">
        <f>DataSiswa!C23</f>
        <v>Mia Larisa Waskito</v>
      </c>
      <c r="E29" s="242">
        <v>91</v>
      </c>
      <c r="F29" s="79">
        <v>90</v>
      </c>
      <c r="G29" s="79" t="s">
        <v>334</v>
      </c>
      <c r="H29" s="227">
        <f t="shared" si="0"/>
        <v>3.64</v>
      </c>
      <c r="I29" s="227">
        <f t="shared" si="1"/>
        <v>3.6</v>
      </c>
      <c r="J29" s="93" t="s">
        <v>698</v>
      </c>
      <c r="K29" s="425" t="s">
        <v>596</v>
      </c>
      <c r="L29" s="238" t="s">
        <v>699</v>
      </c>
      <c r="M29" s="85"/>
    </row>
    <row r="30" spans="2:13" ht="39.950000000000003" customHeight="1">
      <c r="B30" s="76">
        <v>17</v>
      </c>
      <c r="C30" s="77" t="str">
        <f>DataSiswa!B24</f>
        <v>9983996707</v>
      </c>
      <c r="D30" s="78" t="str">
        <f>DataSiswa!C24</f>
        <v>Muhammad Fadel</v>
      </c>
      <c r="E30" s="242">
        <v>92</v>
      </c>
      <c r="F30" s="79">
        <v>90</v>
      </c>
      <c r="G30" s="79" t="s">
        <v>334</v>
      </c>
      <c r="H30" s="227">
        <f t="shared" si="0"/>
        <v>3.68</v>
      </c>
      <c r="I30" s="227">
        <f t="shared" si="1"/>
        <v>3.6</v>
      </c>
      <c r="J30" s="93" t="s">
        <v>698</v>
      </c>
      <c r="K30" s="425" t="s">
        <v>596</v>
      </c>
      <c r="L30" s="238" t="s">
        <v>699</v>
      </c>
      <c r="M30" s="85"/>
    </row>
    <row r="31" spans="2:13" ht="39.950000000000003" customHeight="1">
      <c r="B31" s="76">
        <v>18</v>
      </c>
      <c r="C31" s="77" t="str">
        <f>DataSiswa!B25</f>
        <v>9981328630</v>
      </c>
      <c r="D31" s="78" t="str">
        <f>DataSiswa!C25</f>
        <v>Muhammad Ilham Fajri</v>
      </c>
      <c r="E31" s="242">
        <v>91</v>
      </c>
      <c r="F31" s="79">
        <v>88</v>
      </c>
      <c r="G31" s="79" t="s">
        <v>334</v>
      </c>
      <c r="H31" s="227">
        <f t="shared" si="0"/>
        <v>3.64</v>
      </c>
      <c r="I31" s="227">
        <f t="shared" si="1"/>
        <v>3.52</v>
      </c>
      <c r="J31" s="93" t="s">
        <v>698</v>
      </c>
      <c r="K31" s="425" t="s">
        <v>596</v>
      </c>
      <c r="L31" s="238" t="s">
        <v>699</v>
      </c>
      <c r="M31" s="85"/>
    </row>
    <row r="32" spans="2:13" ht="39.950000000000003" customHeight="1">
      <c r="B32" s="76">
        <v>19</v>
      </c>
      <c r="C32" s="77" t="str">
        <f>DataSiswa!B26</f>
        <v>9980830799</v>
      </c>
      <c r="D32" s="78" t="str">
        <f>DataSiswa!C26</f>
        <v>Muhammad Irfan</v>
      </c>
      <c r="E32" s="242">
        <v>92</v>
      </c>
      <c r="F32" s="79">
        <v>92</v>
      </c>
      <c r="G32" s="79" t="s">
        <v>334</v>
      </c>
      <c r="H32" s="227">
        <f t="shared" si="0"/>
        <v>3.68</v>
      </c>
      <c r="I32" s="227">
        <f t="shared" si="1"/>
        <v>3.68</v>
      </c>
      <c r="J32" s="93" t="s">
        <v>698</v>
      </c>
      <c r="K32" s="425" t="s">
        <v>596</v>
      </c>
      <c r="L32" s="238" t="s">
        <v>699</v>
      </c>
      <c r="M32" s="85"/>
    </row>
    <row r="33" spans="2:13" ht="39.950000000000003" customHeight="1">
      <c r="B33" s="76">
        <v>20</v>
      </c>
      <c r="C33" s="77" t="str">
        <f>DataSiswa!B27</f>
        <v>9981704177</v>
      </c>
      <c r="D33" s="78" t="str">
        <f>DataSiswa!C27</f>
        <v>Naura Cantika</v>
      </c>
      <c r="E33" s="242">
        <v>90</v>
      </c>
      <c r="F33" s="79">
        <v>90</v>
      </c>
      <c r="G33" s="79" t="s">
        <v>334</v>
      </c>
      <c r="H33" s="227">
        <f t="shared" si="0"/>
        <v>3.6</v>
      </c>
      <c r="I33" s="227">
        <f t="shared" si="1"/>
        <v>3.6</v>
      </c>
      <c r="J33" s="93" t="s">
        <v>698</v>
      </c>
      <c r="K33" s="425" t="s">
        <v>596</v>
      </c>
      <c r="L33" s="238" t="s">
        <v>699</v>
      </c>
      <c r="M33" s="85"/>
    </row>
    <row r="34" spans="2:13" ht="39.950000000000003" customHeight="1">
      <c r="B34" s="76">
        <v>21</v>
      </c>
      <c r="C34" s="77" t="str">
        <f>DataSiswa!B28</f>
        <v>9980810523</v>
      </c>
      <c r="D34" s="78" t="str">
        <f>DataSiswa!C28</f>
        <v>Nurul Putri Salsabila</v>
      </c>
      <c r="E34" s="242">
        <v>92</v>
      </c>
      <c r="F34" s="79">
        <v>90</v>
      </c>
      <c r="G34" s="79" t="s">
        <v>334</v>
      </c>
      <c r="H34" s="227">
        <f t="shared" si="0"/>
        <v>3.68</v>
      </c>
      <c r="I34" s="227">
        <f t="shared" si="1"/>
        <v>3.6</v>
      </c>
      <c r="J34" s="93" t="s">
        <v>698</v>
      </c>
      <c r="K34" s="425" t="s">
        <v>596</v>
      </c>
      <c r="L34" s="238" t="s">
        <v>699</v>
      </c>
      <c r="M34" s="85"/>
    </row>
    <row r="35" spans="2:13" ht="39.950000000000003" customHeight="1">
      <c r="B35" s="76">
        <v>22</v>
      </c>
      <c r="C35" s="77" t="str">
        <f>DataSiswa!B29</f>
        <v>9998982066</v>
      </c>
      <c r="D35" s="78" t="str">
        <f>DataSiswa!C29</f>
        <v>Rafi Fikriya Riza</v>
      </c>
      <c r="E35" s="242">
        <v>90</v>
      </c>
      <c r="F35" s="79">
        <v>90</v>
      </c>
      <c r="G35" s="79" t="s">
        <v>334</v>
      </c>
      <c r="H35" s="227">
        <f t="shared" si="0"/>
        <v>3.6</v>
      </c>
      <c r="I35" s="227">
        <f t="shared" si="1"/>
        <v>3.6</v>
      </c>
      <c r="J35" s="93" t="s">
        <v>698</v>
      </c>
      <c r="K35" s="425" t="s">
        <v>596</v>
      </c>
      <c r="L35" s="238" t="s">
        <v>699</v>
      </c>
      <c r="M35" s="85"/>
    </row>
    <row r="36" spans="2:13" ht="39.950000000000003" customHeight="1">
      <c r="B36" s="76">
        <v>23</v>
      </c>
      <c r="C36" s="77" t="str">
        <f>DataSiswa!B30</f>
        <v>9985967994</v>
      </c>
      <c r="D36" s="78" t="str">
        <f>DataSiswa!C30</f>
        <v>Restu Tria Bahri</v>
      </c>
      <c r="E36" s="242">
        <v>85</v>
      </c>
      <c r="F36" s="79">
        <v>88</v>
      </c>
      <c r="G36" s="79" t="s">
        <v>334</v>
      </c>
      <c r="H36" s="227">
        <f t="shared" si="0"/>
        <v>3.4</v>
      </c>
      <c r="I36" s="227">
        <f t="shared" si="1"/>
        <v>3.52</v>
      </c>
      <c r="J36" s="93" t="s">
        <v>698</v>
      </c>
      <c r="K36" s="425" t="s">
        <v>596</v>
      </c>
      <c r="L36" s="238" t="s">
        <v>699</v>
      </c>
      <c r="M36" s="85"/>
    </row>
    <row r="37" spans="2:13" ht="39.950000000000003" customHeight="1">
      <c r="B37" s="76">
        <v>24</v>
      </c>
      <c r="C37" s="77" t="str">
        <f>DataSiswa!B31</f>
        <v>9980799351</v>
      </c>
      <c r="D37" s="78" t="str">
        <f>DataSiswa!C31</f>
        <v>Rifka Esofita</v>
      </c>
      <c r="E37" s="242">
        <v>86</v>
      </c>
      <c r="F37" s="79">
        <v>88</v>
      </c>
      <c r="G37" s="79" t="s">
        <v>334</v>
      </c>
      <c r="H37" s="227">
        <f t="shared" si="0"/>
        <v>3.44</v>
      </c>
      <c r="I37" s="227">
        <f t="shared" si="1"/>
        <v>3.52</v>
      </c>
      <c r="J37" s="93" t="s">
        <v>698</v>
      </c>
      <c r="K37" s="425" t="s">
        <v>596</v>
      </c>
      <c r="L37" s="238" t="s">
        <v>699</v>
      </c>
      <c r="M37" s="85"/>
    </row>
    <row r="38" spans="2:13" ht="39.950000000000003" customHeight="1">
      <c r="B38" s="76">
        <v>25</v>
      </c>
      <c r="C38" s="77" t="str">
        <f>DataSiswa!B32</f>
        <v>9982095495</v>
      </c>
      <c r="D38" s="78" t="str">
        <f>DataSiswa!C32</f>
        <v>Rifo Ranofan</v>
      </c>
      <c r="E38" s="242">
        <v>87</v>
      </c>
      <c r="F38" s="79">
        <v>90</v>
      </c>
      <c r="G38" s="79" t="s">
        <v>334</v>
      </c>
      <c r="H38" s="227">
        <f t="shared" si="0"/>
        <v>3.48</v>
      </c>
      <c r="I38" s="227">
        <f t="shared" si="1"/>
        <v>3.6</v>
      </c>
      <c r="J38" s="93" t="s">
        <v>698</v>
      </c>
      <c r="K38" s="425" t="s">
        <v>596</v>
      </c>
      <c r="L38" s="238" t="s">
        <v>699</v>
      </c>
      <c r="M38" s="85"/>
    </row>
    <row r="39" spans="2:13" ht="39.950000000000003" customHeight="1">
      <c r="B39" s="76">
        <v>26</v>
      </c>
      <c r="C39" s="77" t="str">
        <f>DataSiswa!B33</f>
        <v>9985858026</v>
      </c>
      <c r="D39" s="78" t="str">
        <f>DataSiswa!C33</f>
        <v>Stephany Widyanti</v>
      </c>
      <c r="E39" s="242">
        <v>86</v>
      </c>
      <c r="F39" s="79">
        <v>90</v>
      </c>
      <c r="G39" s="86" t="s">
        <v>334</v>
      </c>
      <c r="H39" s="227">
        <f t="shared" si="0"/>
        <v>3.44</v>
      </c>
      <c r="I39" s="227">
        <f t="shared" si="1"/>
        <v>3.6</v>
      </c>
      <c r="J39" s="93" t="s">
        <v>698</v>
      </c>
      <c r="K39" s="425" t="s">
        <v>596</v>
      </c>
      <c r="L39" s="238" t="s">
        <v>699</v>
      </c>
      <c r="M39" s="85"/>
    </row>
    <row r="40" spans="2:13" ht="39.950000000000003" customHeight="1">
      <c r="B40" s="76">
        <v>27</v>
      </c>
      <c r="C40" s="77" t="str">
        <f>DataSiswa!B34</f>
        <v>9980818512</v>
      </c>
      <c r="D40" s="78" t="str">
        <f>DataSiswa!C34</f>
        <v>Tiara Yulianti</v>
      </c>
      <c r="E40" s="242">
        <v>89</v>
      </c>
      <c r="F40" s="79">
        <v>90</v>
      </c>
      <c r="G40" s="86" t="s">
        <v>334</v>
      </c>
      <c r="H40" s="227">
        <f t="shared" si="0"/>
        <v>3.56</v>
      </c>
      <c r="I40" s="227">
        <f t="shared" si="1"/>
        <v>3.6</v>
      </c>
      <c r="J40" s="93" t="s">
        <v>698</v>
      </c>
      <c r="K40" s="425" t="s">
        <v>596</v>
      </c>
      <c r="L40" s="238" t="s">
        <v>699</v>
      </c>
      <c r="M40" s="85"/>
    </row>
    <row r="41" spans="2:13" ht="39.950000000000003" customHeight="1">
      <c r="B41" s="76">
        <v>28</v>
      </c>
      <c r="C41" s="77" t="str">
        <f>DataSiswa!B35</f>
        <v>9982393794</v>
      </c>
      <c r="D41" s="78" t="str">
        <f>DataSiswa!C35</f>
        <v>Tika Wandira</v>
      </c>
      <c r="E41" s="242">
        <v>91</v>
      </c>
      <c r="F41" s="79">
        <v>88</v>
      </c>
      <c r="G41" s="86" t="s">
        <v>334</v>
      </c>
      <c r="H41" s="227">
        <f t="shared" si="0"/>
        <v>3.64</v>
      </c>
      <c r="I41" s="227">
        <f t="shared" si="1"/>
        <v>3.52</v>
      </c>
      <c r="J41" s="93" t="s">
        <v>698</v>
      </c>
      <c r="K41" s="425" t="s">
        <v>596</v>
      </c>
      <c r="L41" s="238" t="s">
        <v>699</v>
      </c>
      <c r="M41" s="85"/>
    </row>
    <row r="42" spans="2:13" ht="39.950000000000003" customHeight="1">
      <c r="B42" s="76">
        <v>29</v>
      </c>
      <c r="C42" s="77" t="str">
        <f>DataSiswa!B36</f>
        <v>9980818720</v>
      </c>
      <c r="D42" s="78" t="str">
        <f>DataSiswa!C36</f>
        <v>Ulfa Febriyani</v>
      </c>
      <c r="E42" s="242">
        <v>88</v>
      </c>
      <c r="F42" s="79">
        <v>90</v>
      </c>
      <c r="G42" s="86" t="s">
        <v>334</v>
      </c>
      <c r="H42" s="227">
        <f t="shared" si="0"/>
        <v>3.52</v>
      </c>
      <c r="I42" s="227">
        <f t="shared" si="1"/>
        <v>3.6</v>
      </c>
      <c r="J42" s="93" t="s">
        <v>698</v>
      </c>
      <c r="K42" s="425" t="s">
        <v>596</v>
      </c>
      <c r="L42" s="238" t="s">
        <v>699</v>
      </c>
      <c r="M42" s="85"/>
    </row>
    <row r="43" spans="2:13" ht="39.950000000000003" customHeight="1">
      <c r="B43" s="76">
        <v>30</v>
      </c>
      <c r="C43" s="77" t="str">
        <f>DataSiswa!B37</f>
        <v>9990756408</v>
      </c>
      <c r="D43" s="78" t="str">
        <f>DataSiswa!C37</f>
        <v>Valdy Filando Sardi</v>
      </c>
      <c r="E43" s="242">
        <v>95</v>
      </c>
      <c r="F43" s="79">
        <v>90</v>
      </c>
      <c r="G43" s="86" t="s">
        <v>334</v>
      </c>
      <c r="H43" s="227">
        <f t="shared" si="0"/>
        <v>3.8</v>
      </c>
      <c r="I43" s="227">
        <f t="shared" si="1"/>
        <v>3.6</v>
      </c>
      <c r="J43" s="93" t="s">
        <v>698</v>
      </c>
      <c r="K43" s="425" t="s">
        <v>596</v>
      </c>
      <c r="L43" s="238" t="s">
        <v>699</v>
      </c>
      <c r="M43" s="85"/>
    </row>
    <row r="44" spans="2:13" ht="39.950000000000003" customHeight="1">
      <c r="B44" s="76">
        <v>31</v>
      </c>
      <c r="C44" s="77" t="str">
        <f>DataSiswa!B38</f>
        <v>9980816670</v>
      </c>
      <c r="D44" s="78" t="str">
        <f>DataSiswa!C38</f>
        <v>Vonny Maitaveri</v>
      </c>
      <c r="E44" s="242">
        <v>84</v>
      </c>
      <c r="F44" s="79">
        <v>86</v>
      </c>
      <c r="G44" s="86" t="s">
        <v>334</v>
      </c>
      <c r="H44" s="227">
        <f t="shared" si="0"/>
        <v>3.36</v>
      </c>
      <c r="I44" s="227">
        <f t="shared" si="1"/>
        <v>3.44</v>
      </c>
      <c r="J44" s="93" t="s">
        <v>698</v>
      </c>
      <c r="K44" s="425" t="s">
        <v>596</v>
      </c>
      <c r="L44" s="238" t="s">
        <v>699</v>
      </c>
      <c r="M44" s="85"/>
    </row>
    <row r="45" spans="2:13" ht="39.950000000000003" customHeight="1">
      <c r="B45" s="76">
        <v>32</v>
      </c>
      <c r="C45" s="77" t="str">
        <f>DataSiswa!B39</f>
        <v>9982889268</v>
      </c>
      <c r="D45" s="78" t="str">
        <f>DataSiswa!C39</f>
        <v>Wahyu Yolanda</v>
      </c>
      <c r="E45" s="242">
        <v>86</v>
      </c>
      <c r="F45" s="79">
        <v>88</v>
      </c>
      <c r="G45" s="86" t="s">
        <v>334</v>
      </c>
      <c r="H45" s="227">
        <f t="shared" si="0"/>
        <v>3.44</v>
      </c>
      <c r="I45" s="227">
        <f t="shared" si="1"/>
        <v>3.52</v>
      </c>
      <c r="J45" s="93" t="s">
        <v>698</v>
      </c>
      <c r="K45" s="425" t="s">
        <v>596</v>
      </c>
      <c r="L45" s="238" t="s">
        <v>699</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pageSetup paperSize="9" orientation="portrait" horizontalDpi="4294967293" verticalDpi="4294967293" r:id="rId1"/>
  <ignoredErrors>
    <ignoredError sqref="D6:D9" unlockedFormula="1"/>
  </ignoredError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B1:M54"/>
  <sheetViews>
    <sheetView topLeftCell="B40" workbookViewId="0">
      <selection activeCell="B14" sqref="B14:B53"/>
    </sheetView>
  </sheetViews>
  <sheetFormatPr defaultRowHeight="15"/>
  <cols>
    <col min="1" max="1" width="9.140625" style="61"/>
    <col min="2" max="2" width="7.4257812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DataGuru!C22</f>
        <v>B.Indonesia</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DataGuru!D22</f>
        <v>Dra. Erdawati</v>
      </c>
      <c r="F9" s="566">
        <f>DataGuru!E22</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39.950000000000003" customHeight="1">
      <c r="B14" s="76">
        <v>1</v>
      </c>
      <c r="C14" s="77" t="str">
        <f>DataSiswa!B8</f>
        <v>9986980442</v>
      </c>
      <c r="D14" s="78" t="str">
        <f>DataSiswa!C8</f>
        <v>Aditya Taufik Sastra</v>
      </c>
      <c r="E14" s="242">
        <v>83</v>
      </c>
      <c r="F14" s="79">
        <v>83</v>
      </c>
      <c r="G14" s="80" t="s">
        <v>24</v>
      </c>
      <c r="H14" s="227">
        <f>(E14/100)*4</f>
        <v>3.32</v>
      </c>
      <c r="I14" s="227">
        <f>(F14/100)*4</f>
        <v>3.32</v>
      </c>
      <c r="J14" s="93" t="s">
        <v>569</v>
      </c>
      <c r="K14" s="96" t="s">
        <v>607</v>
      </c>
      <c r="L14" s="100" t="s">
        <v>382</v>
      </c>
      <c r="M14" s="81"/>
    </row>
    <row r="15" spans="2:13" ht="39.950000000000003" customHeight="1">
      <c r="B15" s="76">
        <v>2</v>
      </c>
      <c r="C15" s="77" t="str">
        <f>DataSiswa!B9</f>
        <v>9982907972</v>
      </c>
      <c r="D15" s="78" t="str">
        <f>DataSiswa!C9</f>
        <v>Angger Ghufron Pangestu</v>
      </c>
      <c r="E15" s="242">
        <v>83</v>
      </c>
      <c r="F15" s="79">
        <v>83</v>
      </c>
      <c r="G15" s="80" t="s">
        <v>24</v>
      </c>
      <c r="H15" s="227">
        <f t="shared" ref="H15:H53" si="0">(E15/100)*4</f>
        <v>3.32</v>
      </c>
      <c r="I15" s="227">
        <f t="shared" ref="I15:I53" si="1">(F15/100)*4</f>
        <v>3.32</v>
      </c>
      <c r="J15" s="93" t="s">
        <v>569</v>
      </c>
      <c r="K15" s="96" t="s">
        <v>607</v>
      </c>
      <c r="L15" s="100" t="s">
        <v>382</v>
      </c>
      <c r="M15" s="82"/>
    </row>
    <row r="16" spans="2:13" ht="39.950000000000003" customHeight="1">
      <c r="B16" s="76">
        <v>3</v>
      </c>
      <c r="C16" s="77" t="str">
        <f>DataSiswa!B10</f>
        <v>9983601594</v>
      </c>
      <c r="D16" s="78" t="str">
        <f>DataSiswa!C10</f>
        <v>Anjellia Novia Safitri</v>
      </c>
      <c r="E16" s="242">
        <v>84</v>
      </c>
      <c r="F16" s="79">
        <v>83</v>
      </c>
      <c r="G16" s="80" t="s">
        <v>24</v>
      </c>
      <c r="H16" s="227">
        <f t="shared" si="0"/>
        <v>3.36</v>
      </c>
      <c r="I16" s="227">
        <f t="shared" si="1"/>
        <v>3.32</v>
      </c>
      <c r="J16" s="93" t="s">
        <v>569</v>
      </c>
      <c r="K16" s="96" t="s">
        <v>607</v>
      </c>
      <c r="L16" s="100" t="s">
        <v>382</v>
      </c>
      <c r="M16" s="82"/>
    </row>
    <row r="17" spans="2:13" ht="39.950000000000003" customHeight="1">
      <c r="B17" s="76">
        <v>4</v>
      </c>
      <c r="C17" s="77" t="str">
        <f>DataSiswa!B11</f>
        <v>9989091797</v>
      </c>
      <c r="D17" s="78" t="str">
        <f>DataSiswa!C11</f>
        <v>Azis Fahrozi</v>
      </c>
      <c r="E17" s="242">
        <v>84</v>
      </c>
      <c r="F17" s="79">
        <v>83</v>
      </c>
      <c r="G17" s="80" t="s">
        <v>24</v>
      </c>
      <c r="H17" s="227">
        <f t="shared" si="0"/>
        <v>3.36</v>
      </c>
      <c r="I17" s="227">
        <f t="shared" si="1"/>
        <v>3.32</v>
      </c>
      <c r="J17" s="93" t="s">
        <v>569</v>
      </c>
      <c r="K17" s="96" t="s">
        <v>607</v>
      </c>
      <c r="L17" s="100" t="s">
        <v>382</v>
      </c>
      <c r="M17" s="82"/>
    </row>
    <row r="18" spans="2:13" ht="39.950000000000003" customHeight="1">
      <c r="B18" s="76">
        <v>5</v>
      </c>
      <c r="C18" s="77" t="str">
        <f>DataSiswa!B12</f>
        <v>9989983501</v>
      </c>
      <c r="D18" s="78" t="str">
        <f>DataSiswa!C12</f>
        <v>Berliana Monica</v>
      </c>
      <c r="E18" s="242">
        <v>83</v>
      </c>
      <c r="F18" s="79">
        <v>84</v>
      </c>
      <c r="G18" s="80" t="s">
        <v>24</v>
      </c>
      <c r="H18" s="227">
        <f t="shared" si="0"/>
        <v>3.32</v>
      </c>
      <c r="I18" s="227">
        <f t="shared" si="1"/>
        <v>3.36</v>
      </c>
      <c r="J18" s="93" t="s">
        <v>569</v>
      </c>
      <c r="K18" s="96" t="s">
        <v>607</v>
      </c>
      <c r="L18" s="100" t="s">
        <v>382</v>
      </c>
      <c r="M18" s="82"/>
    </row>
    <row r="19" spans="2:13" ht="39.950000000000003" customHeight="1">
      <c r="B19" s="76">
        <v>6</v>
      </c>
      <c r="C19" s="77" t="str">
        <f>DataSiswa!B13</f>
        <v>9970817548</v>
      </c>
      <c r="D19" s="78" t="str">
        <f>DataSiswa!C13</f>
        <v>Defri Nofriadi</v>
      </c>
      <c r="E19" s="242">
        <v>85</v>
      </c>
      <c r="F19" s="79">
        <v>84</v>
      </c>
      <c r="G19" s="80" t="s">
        <v>24</v>
      </c>
      <c r="H19" s="227">
        <f t="shared" si="0"/>
        <v>3.4</v>
      </c>
      <c r="I19" s="227">
        <f t="shared" si="1"/>
        <v>3.36</v>
      </c>
      <c r="J19" s="93" t="s">
        <v>569</v>
      </c>
      <c r="K19" s="96" t="s">
        <v>607</v>
      </c>
      <c r="L19" s="100" t="s">
        <v>382</v>
      </c>
      <c r="M19" s="82"/>
    </row>
    <row r="20" spans="2:13" ht="39.950000000000003" customHeight="1">
      <c r="B20" s="76">
        <v>7</v>
      </c>
      <c r="C20" s="77" t="str">
        <f>DataSiswa!B14</f>
        <v>9980817555</v>
      </c>
      <c r="D20" s="78" t="str">
        <f>DataSiswa!C14</f>
        <v>Dina Mardana Dulas</v>
      </c>
      <c r="E20" s="242">
        <v>84</v>
      </c>
      <c r="F20" s="79">
        <v>84</v>
      </c>
      <c r="G20" s="80" t="s">
        <v>24</v>
      </c>
      <c r="H20" s="227">
        <f t="shared" si="0"/>
        <v>3.36</v>
      </c>
      <c r="I20" s="227">
        <f t="shared" si="1"/>
        <v>3.36</v>
      </c>
      <c r="J20" s="93" t="s">
        <v>569</v>
      </c>
      <c r="K20" s="96" t="s">
        <v>607</v>
      </c>
      <c r="L20" s="100" t="s">
        <v>382</v>
      </c>
      <c r="M20" s="82"/>
    </row>
    <row r="21" spans="2:13" ht="39.950000000000003" customHeight="1">
      <c r="B21" s="76">
        <v>8</v>
      </c>
      <c r="C21" s="268" t="str">
        <f>DataSiswa!B15</f>
        <v>9980817812</v>
      </c>
      <c r="D21" s="269" t="str">
        <f>DataSiswa!C15</f>
        <v>Famella Putriadi</v>
      </c>
      <c r="E21" s="419">
        <v>84</v>
      </c>
      <c r="F21" s="239">
        <v>84</v>
      </c>
      <c r="G21" s="270" t="s">
        <v>24</v>
      </c>
      <c r="H21" s="227">
        <f t="shared" si="0"/>
        <v>3.36</v>
      </c>
      <c r="I21" s="227">
        <f t="shared" si="1"/>
        <v>3.36</v>
      </c>
      <c r="J21" s="93" t="s">
        <v>569</v>
      </c>
      <c r="K21" s="96" t="s">
        <v>607</v>
      </c>
      <c r="L21" s="100" t="s">
        <v>382</v>
      </c>
      <c r="M21" s="82"/>
    </row>
    <row r="22" spans="2:13" ht="39.950000000000003" customHeight="1">
      <c r="B22" s="76">
        <v>9</v>
      </c>
      <c r="C22" s="77" t="str">
        <f>DataSiswa!B16</f>
        <v>9986349049</v>
      </c>
      <c r="D22" s="78" t="str">
        <f>DataSiswa!C16</f>
        <v>Febrawati Fajlynd</v>
      </c>
      <c r="E22" s="242">
        <v>84</v>
      </c>
      <c r="F22" s="79">
        <v>84</v>
      </c>
      <c r="G22" s="80" t="s">
        <v>24</v>
      </c>
      <c r="H22" s="227">
        <f t="shared" si="0"/>
        <v>3.36</v>
      </c>
      <c r="I22" s="227">
        <f t="shared" si="1"/>
        <v>3.36</v>
      </c>
      <c r="J22" s="93" t="s">
        <v>569</v>
      </c>
      <c r="K22" s="96" t="s">
        <v>607</v>
      </c>
      <c r="L22" s="100" t="s">
        <v>382</v>
      </c>
      <c r="M22" s="82"/>
    </row>
    <row r="23" spans="2:13" ht="39.950000000000003" customHeight="1">
      <c r="B23" s="76">
        <v>10</v>
      </c>
      <c r="C23" s="77" t="str">
        <f>DataSiswa!B17</f>
        <v>9980673410</v>
      </c>
      <c r="D23" s="78" t="str">
        <f>DataSiswa!C17</f>
        <v>Fierro Perdana Ibrahim</v>
      </c>
      <c r="E23" s="242">
        <v>83</v>
      </c>
      <c r="F23" s="79">
        <v>83</v>
      </c>
      <c r="G23" s="80" t="s">
        <v>24</v>
      </c>
      <c r="H23" s="227">
        <f t="shared" si="0"/>
        <v>3.32</v>
      </c>
      <c r="I23" s="227">
        <f t="shared" si="1"/>
        <v>3.32</v>
      </c>
      <c r="J23" s="93" t="s">
        <v>570</v>
      </c>
      <c r="K23" s="96" t="s">
        <v>607</v>
      </c>
      <c r="L23" s="100" t="s">
        <v>382</v>
      </c>
      <c r="M23" s="82"/>
    </row>
    <row r="24" spans="2:13" ht="39.950000000000003" customHeight="1">
      <c r="B24" s="76">
        <v>11</v>
      </c>
      <c r="C24" s="77" t="str">
        <f>DataSiswa!B18</f>
        <v>9980817833</v>
      </c>
      <c r="D24" s="78" t="str">
        <f>DataSiswa!C18</f>
        <v>Jihan Salsabilla</v>
      </c>
      <c r="E24" s="242">
        <v>85</v>
      </c>
      <c r="F24" s="79">
        <v>84</v>
      </c>
      <c r="G24" s="80" t="s">
        <v>24</v>
      </c>
      <c r="H24" s="227">
        <f t="shared" si="0"/>
        <v>3.4</v>
      </c>
      <c r="I24" s="227">
        <f t="shared" si="1"/>
        <v>3.36</v>
      </c>
      <c r="J24" s="93" t="s">
        <v>569</v>
      </c>
      <c r="K24" s="96" t="s">
        <v>608</v>
      </c>
      <c r="L24" s="100" t="s">
        <v>382</v>
      </c>
      <c r="M24" s="82"/>
    </row>
    <row r="25" spans="2:13" ht="39.950000000000003" customHeight="1">
      <c r="B25" s="76">
        <v>12</v>
      </c>
      <c r="C25" s="77" t="str">
        <f>DataSiswa!B19</f>
        <v>9980065874</v>
      </c>
      <c r="D25" s="78" t="str">
        <f>DataSiswa!C19</f>
        <v>Karina Safira Rannas</v>
      </c>
      <c r="E25" s="242">
        <v>85</v>
      </c>
      <c r="F25" s="79">
        <v>83</v>
      </c>
      <c r="G25" s="80" t="s">
        <v>24</v>
      </c>
      <c r="H25" s="227">
        <f t="shared" si="0"/>
        <v>3.4</v>
      </c>
      <c r="I25" s="227">
        <f t="shared" si="1"/>
        <v>3.32</v>
      </c>
      <c r="J25" s="93" t="s">
        <v>569</v>
      </c>
      <c r="K25" s="96" t="s">
        <v>607</v>
      </c>
      <c r="L25" s="100" t="s">
        <v>382</v>
      </c>
      <c r="M25" s="82"/>
    </row>
    <row r="26" spans="2:13" ht="39.950000000000003" customHeight="1">
      <c r="B26" s="76">
        <v>13</v>
      </c>
      <c r="C26" s="77" t="str">
        <f>DataSiswa!B20</f>
        <v>9970816998</v>
      </c>
      <c r="D26" s="78" t="str">
        <f>DataSiswa!C20</f>
        <v>Loura Oktaviola</v>
      </c>
      <c r="E26" s="242">
        <v>85</v>
      </c>
      <c r="F26" s="79">
        <v>84</v>
      </c>
      <c r="G26" s="80" t="s">
        <v>24</v>
      </c>
      <c r="H26" s="227">
        <f t="shared" si="0"/>
        <v>3.4</v>
      </c>
      <c r="I26" s="227">
        <f t="shared" si="1"/>
        <v>3.36</v>
      </c>
      <c r="J26" s="93" t="s">
        <v>569</v>
      </c>
      <c r="K26" s="96" t="s">
        <v>607</v>
      </c>
      <c r="L26" s="437" t="s">
        <v>382</v>
      </c>
      <c r="M26" s="84"/>
    </row>
    <row r="27" spans="2:13" ht="39.950000000000003" customHeight="1">
      <c r="B27" s="76">
        <v>14</v>
      </c>
      <c r="C27" s="77" t="str">
        <f>DataSiswa!B21</f>
        <v>9982095456</v>
      </c>
      <c r="D27" s="78" t="str">
        <f>DataSiswa!C21</f>
        <v>Lauren Dwina Arini</v>
      </c>
      <c r="E27" s="242">
        <v>85</v>
      </c>
      <c r="F27" s="79">
        <v>84</v>
      </c>
      <c r="G27" s="80" t="s">
        <v>24</v>
      </c>
      <c r="H27" s="227">
        <f t="shared" si="0"/>
        <v>3.4</v>
      </c>
      <c r="I27" s="227">
        <f t="shared" si="1"/>
        <v>3.36</v>
      </c>
      <c r="J27" s="93" t="s">
        <v>569</v>
      </c>
      <c r="K27" s="96" t="s">
        <v>607</v>
      </c>
      <c r="L27" s="437" t="s">
        <v>382</v>
      </c>
      <c r="M27" s="85"/>
    </row>
    <row r="28" spans="2:13" ht="39.950000000000003" customHeight="1">
      <c r="B28" s="76">
        <v>15</v>
      </c>
      <c r="C28" s="77" t="str">
        <f>DataSiswa!B22</f>
        <v>9980817839</v>
      </c>
      <c r="D28" s="78" t="str">
        <f>DataSiswa!C22</f>
        <v>Leoni Syagna Velia</v>
      </c>
      <c r="E28" s="242">
        <v>84</v>
      </c>
      <c r="F28" s="79">
        <v>85</v>
      </c>
      <c r="G28" s="79" t="s">
        <v>24</v>
      </c>
      <c r="H28" s="227">
        <f t="shared" si="0"/>
        <v>3.36</v>
      </c>
      <c r="I28" s="227">
        <f t="shared" si="1"/>
        <v>3.4</v>
      </c>
      <c r="J28" s="420" t="s">
        <v>569</v>
      </c>
      <c r="K28" s="424" t="s">
        <v>607</v>
      </c>
      <c r="L28" s="437" t="s">
        <v>382</v>
      </c>
      <c r="M28" s="85"/>
    </row>
    <row r="29" spans="2:13" ht="39.950000000000003" customHeight="1">
      <c r="B29" s="76">
        <v>16</v>
      </c>
      <c r="C29" s="77" t="str">
        <f>DataSiswa!B23</f>
        <v>9982885002</v>
      </c>
      <c r="D29" s="78" t="str">
        <f>DataSiswa!C23</f>
        <v>Mia Larisa Waskito</v>
      </c>
      <c r="E29" s="242">
        <v>84</v>
      </c>
      <c r="F29" s="79">
        <v>85</v>
      </c>
      <c r="G29" s="79" t="s">
        <v>24</v>
      </c>
      <c r="H29" s="227">
        <f t="shared" si="0"/>
        <v>3.36</v>
      </c>
      <c r="I29" s="227">
        <f t="shared" si="1"/>
        <v>3.4</v>
      </c>
      <c r="J29" s="420" t="s">
        <v>569</v>
      </c>
      <c r="K29" s="424" t="s">
        <v>607</v>
      </c>
      <c r="L29" s="437" t="s">
        <v>382</v>
      </c>
      <c r="M29" s="85"/>
    </row>
    <row r="30" spans="2:13" ht="39.950000000000003" customHeight="1">
      <c r="B30" s="76">
        <v>17</v>
      </c>
      <c r="C30" s="77" t="str">
        <f>DataSiswa!B24</f>
        <v>9983996707</v>
      </c>
      <c r="D30" s="78" t="str">
        <f>DataSiswa!C24</f>
        <v>Muhammad Fadel</v>
      </c>
      <c r="E30" s="242">
        <v>85</v>
      </c>
      <c r="F30" s="79">
        <v>85</v>
      </c>
      <c r="G30" s="79" t="s">
        <v>24</v>
      </c>
      <c r="H30" s="227">
        <f t="shared" si="0"/>
        <v>3.4</v>
      </c>
      <c r="I30" s="227">
        <f t="shared" si="1"/>
        <v>3.4</v>
      </c>
      <c r="J30" s="420" t="s">
        <v>569</v>
      </c>
      <c r="K30" s="424" t="s">
        <v>607</v>
      </c>
      <c r="L30" s="437" t="s">
        <v>382</v>
      </c>
      <c r="M30" s="85"/>
    </row>
    <row r="31" spans="2:13" ht="39.950000000000003" customHeight="1">
      <c r="B31" s="76">
        <v>18</v>
      </c>
      <c r="C31" s="77" t="str">
        <f>DataSiswa!B25</f>
        <v>9981328630</v>
      </c>
      <c r="D31" s="78" t="str">
        <f>DataSiswa!C25</f>
        <v>Muhammad Ilham Fajri</v>
      </c>
      <c r="E31" s="242">
        <v>85</v>
      </c>
      <c r="F31" s="79">
        <v>86</v>
      </c>
      <c r="G31" s="79" t="s">
        <v>24</v>
      </c>
      <c r="H31" s="227">
        <f t="shared" si="0"/>
        <v>3.4</v>
      </c>
      <c r="I31" s="227">
        <f t="shared" si="1"/>
        <v>3.44</v>
      </c>
      <c r="J31" s="420" t="s">
        <v>569</v>
      </c>
      <c r="K31" s="424" t="s">
        <v>607</v>
      </c>
      <c r="L31" s="437" t="s">
        <v>382</v>
      </c>
      <c r="M31" s="85"/>
    </row>
    <row r="32" spans="2:13" ht="39.950000000000003" customHeight="1">
      <c r="B32" s="76">
        <v>19</v>
      </c>
      <c r="C32" s="77" t="str">
        <f>DataSiswa!B26</f>
        <v>9980830799</v>
      </c>
      <c r="D32" s="78" t="str">
        <f>DataSiswa!C26</f>
        <v>Muhammad Irfan</v>
      </c>
      <c r="E32" s="242">
        <v>87</v>
      </c>
      <c r="F32" s="79">
        <v>88</v>
      </c>
      <c r="G32" s="79" t="s">
        <v>24</v>
      </c>
      <c r="H32" s="227">
        <f t="shared" si="0"/>
        <v>3.48</v>
      </c>
      <c r="I32" s="227">
        <f t="shared" si="1"/>
        <v>3.52</v>
      </c>
      <c r="J32" s="420" t="s">
        <v>569</v>
      </c>
      <c r="K32" s="424" t="s">
        <v>607</v>
      </c>
      <c r="L32" s="437" t="s">
        <v>571</v>
      </c>
      <c r="M32" s="85"/>
    </row>
    <row r="33" spans="2:13" ht="39.950000000000003" customHeight="1">
      <c r="B33" s="76">
        <v>20</v>
      </c>
      <c r="C33" s="77" t="str">
        <f>DataSiswa!B27</f>
        <v>9981704177</v>
      </c>
      <c r="D33" s="78" t="str">
        <f>DataSiswa!C27</f>
        <v>Naura Cantika</v>
      </c>
      <c r="E33" s="242">
        <v>84</v>
      </c>
      <c r="F33" s="79">
        <v>85</v>
      </c>
      <c r="G33" s="79" t="s">
        <v>24</v>
      </c>
      <c r="H33" s="227">
        <f t="shared" si="0"/>
        <v>3.36</v>
      </c>
      <c r="I33" s="227">
        <f t="shared" si="1"/>
        <v>3.4</v>
      </c>
      <c r="J33" s="420" t="s">
        <v>569</v>
      </c>
      <c r="K33" s="424" t="s">
        <v>607</v>
      </c>
      <c r="L33" s="437" t="s">
        <v>382</v>
      </c>
      <c r="M33" s="85"/>
    </row>
    <row r="34" spans="2:13" ht="39.950000000000003" customHeight="1">
      <c r="B34" s="76">
        <v>21</v>
      </c>
      <c r="C34" s="77" t="str">
        <f>DataSiswa!B28</f>
        <v>9980810523</v>
      </c>
      <c r="D34" s="78" t="str">
        <f>DataSiswa!C28</f>
        <v>Nurul Putri Salsabila</v>
      </c>
      <c r="E34" s="242">
        <v>84</v>
      </c>
      <c r="F34" s="79">
        <v>84</v>
      </c>
      <c r="G34" s="79" t="s">
        <v>24</v>
      </c>
      <c r="H34" s="227">
        <f t="shared" si="0"/>
        <v>3.36</v>
      </c>
      <c r="I34" s="227">
        <f t="shared" si="1"/>
        <v>3.36</v>
      </c>
      <c r="J34" s="420" t="s">
        <v>569</v>
      </c>
      <c r="K34" s="424" t="s">
        <v>607</v>
      </c>
      <c r="L34" s="437" t="s">
        <v>382</v>
      </c>
      <c r="M34" s="85"/>
    </row>
    <row r="35" spans="2:13" ht="39.950000000000003" customHeight="1">
      <c r="B35" s="76">
        <v>22</v>
      </c>
      <c r="C35" s="77" t="str">
        <f>DataSiswa!B29</f>
        <v>9998982066</v>
      </c>
      <c r="D35" s="78" t="str">
        <f>DataSiswa!C29</f>
        <v>Rafi Fikriya Riza</v>
      </c>
      <c r="E35" s="242">
        <v>83</v>
      </c>
      <c r="F35" s="79">
        <v>84</v>
      </c>
      <c r="G35" s="79" t="s">
        <v>24</v>
      </c>
      <c r="H35" s="227">
        <f t="shared" si="0"/>
        <v>3.32</v>
      </c>
      <c r="I35" s="227">
        <f t="shared" si="1"/>
        <v>3.36</v>
      </c>
      <c r="J35" s="420" t="s">
        <v>569</v>
      </c>
      <c r="K35" s="424" t="s">
        <v>607</v>
      </c>
      <c r="L35" s="437" t="s">
        <v>382</v>
      </c>
      <c r="M35" s="85"/>
    </row>
    <row r="36" spans="2:13" ht="39.950000000000003" customHeight="1">
      <c r="B36" s="76">
        <v>23</v>
      </c>
      <c r="C36" s="77" t="str">
        <f>DataSiswa!B30</f>
        <v>9985967994</v>
      </c>
      <c r="D36" s="78" t="str">
        <f>DataSiswa!C30</f>
        <v>Restu Tria Bahri</v>
      </c>
      <c r="E36" s="242">
        <v>83</v>
      </c>
      <c r="F36" s="79">
        <v>83</v>
      </c>
      <c r="G36" s="79" t="s">
        <v>24</v>
      </c>
      <c r="H36" s="227">
        <f t="shared" si="0"/>
        <v>3.32</v>
      </c>
      <c r="I36" s="227">
        <f t="shared" si="1"/>
        <v>3.32</v>
      </c>
      <c r="J36" s="420" t="s">
        <v>570</v>
      </c>
      <c r="K36" s="424" t="s">
        <v>607</v>
      </c>
      <c r="L36" s="437" t="s">
        <v>382</v>
      </c>
      <c r="M36" s="85"/>
    </row>
    <row r="37" spans="2:13" ht="39.950000000000003" customHeight="1">
      <c r="B37" s="76">
        <v>24</v>
      </c>
      <c r="C37" s="77" t="str">
        <f>DataSiswa!B31</f>
        <v>9980799351</v>
      </c>
      <c r="D37" s="78" t="str">
        <f>DataSiswa!C31</f>
        <v>Rifka Esofita</v>
      </c>
      <c r="E37" s="242">
        <v>83</v>
      </c>
      <c r="F37" s="79">
        <v>84</v>
      </c>
      <c r="G37" s="79" t="s">
        <v>24</v>
      </c>
      <c r="H37" s="227">
        <f t="shared" si="0"/>
        <v>3.32</v>
      </c>
      <c r="I37" s="227">
        <f t="shared" si="1"/>
        <v>3.36</v>
      </c>
      <c r="J37" s="420" t="s">
        <v>569</v>
      </c>
      <c r="K37" s="424" t="s">
        <v>607</v>
      </c>
      <c r="L37" s="437" t="s">
        <v>382</v>
      </c>
      <c r="M37" s="85"/>
    </row>
    <row r="38" spans="2:13" ht="39.950000000000003" customHeight="1">
      <c r="B38" s="76">
        <v>25</v>
      </c>
      <c r="C38" s="77" t="str">
        <f>DataSiswa!B32</f>
        <v>9982095495</v>
      </c>
      <c r="D38" s="78" t="str">
        <f>DataSiswa!C32</f>
        <v>Rifo Ranofan</v>
      </c>
      <c r="E38" s="242">
        <v>83</v>
      </c>
      <c r="F38" s="79">
        <v>84</v>
      </c>
      <c r="G38" s="79" t="s">
        <v>24</v>
      </c>
      <c r="H38" s="227">
        <f t="shared" si="0"/>
        <v>3.32</v>
      </c>
      <c r="I38" s="227">
        <f t="shared" si="1"/>
        <v>3.36</v>
      </c>
      <c r="J38" s="420" t="s">
        <v>569</v>
      </c>
      <c r="K38" s="424" t="s">
        <v>607</v>
      </c>
      <c r="L38" s="437" t="s">
        <v>382</v>
      </c>
      <c r="M38" s="85"/>
    </row>
    <row r="39" spans="2:13" ht="39.950000000000003" customHeight="1">
      <c r="B39" s="76">
        <v>26</v>
      </c>
      <c r="C39" s="77" t="str">
        <f>DataSiswa!B33</f>
        <v>9985858026</v>
      </c>
      <c r="D39" s="78" t="str">
        <f>DataSiswa!C33</f>
        <v>Stephany Widyanti</v>
      </c>
      <c r="E39" s="242">
        <v>83</v>
      </c>
      <c r="F39" s="79">
        <v>84</v>
      </c>
      <c r="G39" s="86" t="s">
        <v>24</v>
      </c>
      <c r="H39" s="227">
        <f t="shared" si="0"/>
        <v>3.32</v>
      </c>
      <c r="I39" s="227">
        <f t="shared" si="1"/>
        <v>3.36</v>
      </c>
      <c r="J39" s="420" t="s">
        <v>569</v>
      </c>
      <c r="K39" s="424" t="s">
        <v>607</v>
      </c>
      <c r="L39" s="437" t="s">
        <v>382</v>
      </c>
      <c r="M39" s="85"/>
    </row>
    <row r="40" spans="2:13" ht="39.950000000000003" customHeight="1">
      <c r="B40" s="76">
        <v>27</v>
      </c>
      <c r="C40" s="77" t="str">
        <f>DataSiswa!B34</f>
        <v>9980818512</v>
      </c>
      <c r="D40" s="78" t="str">
        <f>DataSiswa!C34</f>
        <v>Tiara Yulianti</v>
      </c>
      <c r="E40" s="242">
        <v>86</v>
      </c>
      <c r="F40" s="79">
        <v>84</v>
      </c>
      <c r="G40" s="86" t="s">
        <v>24</v>
      </c>
      <c r="H40" s="227">
        <f t="shared" si="0"/>
        <v>3.44</v>
      </c>
      <c r="I40" s="227">
        <f t="shared" si="1"/>
        <v>3.36</v>
      </c>
      <c r="J40" s="420" t="s">
        <v>569</v>
      </c>
      <c r="K40" s="424" t="s">
        <v>607</v>
      </c>
      <c r="L40" s="437" t="s">
        <v>382</v>
      </c>
      <c r="M40" s="85"/>
    </row>
    <row r="41" spans="2:13" ht="39.950000000000003" customHeight="1">
      <c r="B41" s="76">
        <v>28</v>
      </c>
      <c r="C41" s="77" t="str">
        <f>DataSiswa!B35</f>
        <v>9982393794</v>
      </c>
      <c r="D41" s="78" t="str">
        <f>DataSiswa!C35</f>
        <v>Tika Wandira</v>
      </c>
      <c r="E41" s="242">
        <v>83</v>
      </c>
      <c r="F41" s="79">
        <v>84</v>
      </c>
      <c r="G41" s="86" t="s">
        <v>24</v>
      </c>
      <c r="H41" s="227">
        <f t="shared" si="0"/>
        <v>3.32</v>
      </c>
      <c r="I41" s="227">
        <f t="shared" si="1"/>
        <v>3.36</v>
      </c>
      <c r="J41" s="420" t="s">
        <v>569</v>
      </c>
      <c r="K41" s="424" t="s">
        <v>607</v>
      </c>
      <c r="L41" s="437" t="s">
        <v>382</v>
      </c>
      <c r="M41" s="85"/>
    </row>
    <row r="42" spans="2:13" ht="39.950000000000003" customHeight="1">
      <c r="B42" s="76">
        <v>29</v>
      </c>
      <c r="C42" s="77" t="str">
        <f>DataSiswa!B36</f>
        <v>9980818720</v>
      </c>
      <c r="D42" s="78" t="str">
        <f>DataSiswa!C36</f>
        <v>Ulfa Febriyani</v>
      </c>
      <c r="E42" s="242">
        <v>83</v>
      </c>
      <c r="F42" s="79">
        <v>84</v>
      </c>
      <c r="G42" s="86" t="s">
        <v>24</v>
      </c>
      <c r="H42" s="227">
        <f t="shared" si="0"/>
        <v>3.32</v>
      </c>
      <c r="I42" s="227">
        <f t="shared" si="1"/>
        <v>3.36</v>
      </c>
      <c r="J42" s="420" t="s">
        <v>569</v>
      </c>
      <c r="K42" s="424" t="s">
        <v>607</v>
      </c>
      <c r="L42" s="437" t="s">
        <v>382</v>
      </c>
      <c r="M42" s="85"/>
    </row>
    <row r="43" spans="2:13" ht="39.950000000000003" customHeight="1">
      <c r="B43" s="76">
        <v>30</v>
      </c>
      <c r="C43" s="77" t="str">
        <f>DataSiswa!B37</f>
        <v>9990756408</v>
      </c>
      <c r="D43" s="78" t="str">
        <f>DataSiswa!C37</f>
        <v>Valdy Filando Sardi</v>
      </c>
      <c r="E43" s="242">
        <v>84</v>
      </c>
      <c r="F43" s="79">
        <v>85</v>
      </c>
      <c r="G43" s="86" t="s">
        <v>24</v>
      </c>
      <c r="H43" s="227">
        <f t="shared" si="0"/>
        <v>3.36</v>
      </c>
      <c r="I43" s="227">
        <f t="shared" si="1"/>
        <v>3.4</v>
      </c>
      <c r="J43" s="420" t="s">
        <v>569</v>
      </c>
      <c r="K43" s="424" t="s">
        <v>607</v>
      </c>
      <c r="L43" s="437" t="s">
        <v>382</v>
      </c>
      <c r="M43" s="85"/>
    </row>
    <row r="44" spans="2:13" ht="39.950000000000003" customHeight="1">
      <c r="B44" s="76">
        <v>31</v>
      </c>
      <c r="C44" s="77" t="str">
        <f>DataSiswa!B38</f>
        <v>9980816670</v>
      </c>
      <c r="D44" s="78" t="str">
        <f>DataSiswa!C38</f>
        <v>Vonny Maitaveri</v>
      </c>
      <c r="E44" s="242">
        <v>83</v>
      </c>
      <c r="F44" s="79">
        <v>84</v>
      </c>
      <c r="G44" s="86" t="s">
        <v>24</v>
      </c>
      <c r="H44" s="227">
        <f t="shared" si="0"/>
        <v>3.32</v>
      </c>
      <c r="I44" s="227">
        <f t="shared" si="1"/>
        <v>3.36</v>
      </c>
      <c r="J44" s="420" t="s">
        <v>569</v>
      </c>
      <c r="K44" s="424" t="s">
        <v>607</v>
      </c>
      <c r="L44" s="437" t="s">
        <v>382</v>
      </c>
      <c r="M44" s="85"/>
    </row>
    <row r="45" spans="2:13" ht="39.950000000000003" customHeight="1">
      <c r="B45" s="76">
        <v>32</v>
      </c>
      <c r="C45" s="77" t="str">
        <f>DataSiswa!B39</f>
        <v>9982889268</v>
      </c>
      <c r="D45" s="78" t="str">
        <f>DataSiswa!C39</f>
        <v>Wahyu Yolanda</v>
      </c>
      <c r="E45" s="242">
        <v>84</v>
      </c>
      <c r="F45" s="79">
        <v>84</v>
      </c>
      <c r="G45" s="79" t="s">
        <v>24</v>
      </c>
      <c r="H45" s="227">
        <f>(E45/100)*4</f>
        <v>3.36</v>
      </c>
      <c r="I45" s="227">
        <f t="shared" si="1"/>
        <v>3.36</v>
      </c>
      <c r="J45" s="420" t="s">
        <v>569</v>
      </c>
      <c r="K45" s="424" t="s">
        <v>607</v>
      </c>
      <c r="L45" s="437" t="s">
        <v>568</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pageSetup orientation="portrait" horizontalDpi="4294967293" verticalDpi="4294967293"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B1:M54"/>
  <sheetViews>
    <sheetView topLeftCell="A4" workbookViewId="0">
      <selection activeCell="I8" sqref="I8"/>
    </sheetView>
  </sheetViews>
  <sheetFormatPr defaultRowHeight="15"/>
  <cols>
    <col min="1" max="1" width="9.140625" style="61"/>
    <col min="2" max="2" width="7.4257812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DataGuru!C23</f>
        <v>Matematika</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DataGuru!D23</f>
        <v>Lili Yulianti, S.Pd</v>
      </c>
      <c r="F9" s="566">
        <f>DataGuru!E23</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50.1" customHeight="1">
      <c r="B14" s="76">
        <v>1</v>
      </c>
      <c r="C14" s="77" t="str">
        <f>DataSiswa!B8</f>
        <v>9986980442</v>
      </c>
      <c r="D14" s="78" t="str">
        <f>DataSiswa!C8</f>
        <v>Aditya Taufik Sastra</v>
      </c>
      <c r="E14" s="242">
        <v>86</v>
      </c>
      <c r="F14" s="79">
        <v>87</v>
      </c>
      <c r="G14" s="80" t="s">
        <v>24</v>
      </c>
      <c r="H14" s="227">
        <f>(E14/100)*4</f>
        <v>3.44</v>
      </c>
      <c r="I14" s="227">
        <f>(F14/100)*4</f>
        <v>3.48</v>
      </c>
      <c r="J14" s="93" t="s">
        <v>563</v>
      </c>
      <c r="K14" s="96" t="s">
        <v>566</v>
      </c>
      <c r="L14" s="238" t="s">
        <v>382</v>
      </c>
      <c r="M14" s="81"/>
    </row>
    <row r="15" spans="2:13" ht="50.1" customHeight="1">
      <c r="B15" s="76">
        <v>2</v>
      </c>
      <c r="C15" s="77" t="str">
        <f>DataSiswa!B9</f>
        <v>9982907972</v>
      </c>
      <c r="D15" s="78" t="str">
        <f>DataSiswa!C9</f>
        <v>Angger Ghufron Pangestu</v>
      </c>
      <c r="E15" s="242">
        <v>83</v>
      </c>
      <c r="F15" s="79">
        <v>84</v>
      </c>
      <c r="G15" s="80" t="s">
        <v>24</v>
      </c>
      <c r="H15" s="227">
        <f t="shared" ref="H15:H53" si="0">(E15/100)*4</f>
        <v>3.32</v>
      </c>
      <c r="I15" s="227">
        <f t="shared" ref="I15:I53" si="1">(F15/100)*4</f>
        <v>3.36</v>
      </c>
      <c r="J15" s="93" t="s">
        <v>563</v>
      </c>
      <c r="K15" s="96" t="s">
        <v>566</v>
      </c>
      <c r="L15" s="238" t="s">
        <v>382</v>
      </c>
      <c r="M15" s="82"/>
    </row>
    <row r="16" spans="2:13" ht="50.1" customHeight="1">
      <c r="B16" s="76">
        <v>3</v>
      </c>
      <c r="C16" s="77" t="str">
        <f>DataSiswa!B10</f>
        <v>9983601594</v>
      </c>
      <c r="D16" s="78" t="str">
        <f>DataSiswa!C10</f>
        <v>Anjellia Novia Safitri</v>
      </c>
      <c r="E16" s="242">
        <v>87</v>
      </c>
      <c r="F16" s="79">
        <v>85</v>
      </c>
      <c r="G16" s="80" t="s">
        <v>24</v>
      </c>
      <c r="H16" s="227">
        <f t="shared" si="0"/>
        <v>3.48</v>
      </c>
      <c r="I16" s="227">
        <f t="shared" si="1"/>
        <v>3.4</v>
      </c>
      <c r="J16" s="93" t="s">
        <v>563</v>
      </c>
      <c r="K16" s="96" t="s">
        <v>566</v>
      </c>
      <c r="L16" s="238" t="s">
        <v>382</v>
      </c>
      <c r="M16" s="82"/>
    </row>
    <row r="17" spans="2:13" ht="50.1" customHeight="1">
      <c r="B17" s="76">
        <v>4</v>
      </c>
      <c r="C17" s="77" t="str">
        <f>DataSiswa!B11</f>
        <v>9989091797</v>
      </c>
      <c r="D17" s="78" t="str">
        <f>DataSiswa!C11</f>
        <v>Azis Fahrozi</v>
      </c>
      <c r="E17" s="242">
        <v>83</v>
      </c>
      <c r="F17" s="79">
        <v>83</v>
      </c>
      <c r="G17" s="80" t="s">
        <v>24</v>
      </c>
      <c r="H17" s="227">
        <f t="shared" si="0"/>
        <v>3.32</v>
      </c>
      <c r="I17" s="227">
        <f t="shared" si="1"/>
        <v>3.32</v>
      </c>
      <c r="J17" s="93" t="s">
        <v>563</v>
      </c>
      <c r="K17" s="96" t="s">
        <v>566</v>
      </c>
      <c r="L17" s="238" t="s">
        <v>382</v>
      </c>
      <c r="M17" s="82"/>
    </row>
    <row r="18" spans="2:13" ht="50.1" customHeight="1">
      <c r="B18" s="76">
        <v>5</v>
      </c>
      <c r="C18" s="77" t="str">
        <f>DataSiswa!B12</f>
        <v>9989983501</v>
      </c>
      <c r="D18" s="78" t="str">
        <f>DataSiswa!C12</f>
        <v>Berliana Monica</v>
      </c>
      <c r="E18" s="242">
        <v>84</v>
      </c>
      <c r="F18" s="79">
        <v>85</v>
      </c>
      <c r="G18" s="80" t="s">
        <v>24</v>
      </c>
      <c r="H18" s="227">
        <f t="shared" si="0"/>
        <v>3.36</v>
      </c>
      <c r="I18" s="227">
        <f t="shared" si="1"/>
        <v>3.4</v>
      </c>
      <c r="J18" s="93" t="s">
        <v>563</v>
      </c>
      <c r="K18" s="96" t="s">
        <v>566</v>
      </c>
      <c r="L18" s="238" t="s">
        <v>382</v>
      </c>
      <c r="M18" s="82"/>
    </row>
    <row r="19" spans="2:13" ht="50.1" customHeight="1">
      <c r="B19" s="76">
        <v>6</v>
      </c>
      <c r="C19" s="77" t="str">
        <f>DataSiswa!B13</f>
        <v>9970817548</v>
      </c>
      <c r="D19" s="78" t="str">
        <f>DataSiswa!C13</f>
        <v>Defri Nofriadi</v>
      </c>
      <c r="E19" s="242">
        <v>84</v>
      </c>
      <c r="F19" s="79">
        <v>86</v>
      </c>
      <c r="G19" s="80" t="s">
        <v>24</v>
      </c>
      <c r="H19" s="227">
        <f t="shared" si="0"/>
        <v>3.36</v>
      </c>
      <c r="I19" s="227">
        <f t="shared" si="1"/>
        <v>3.44</v>
      </c>
      <c r="J19" s="93" t="s">
        <v>563</v>
      </c>
      <c r="K19" s="96" t="s">
        <v>566</v>
      </c>
      <c r="L19" s="238" t="s">
        <v>382</v>
      </c>
      <c r="M19" s="82"/>
    </row>
    <row r="20" spans="2:13" ht="50.1" customHeight="1">
      <c r="B20" s="76">
        <v>7</v>
      </c>
      <c r="C20" s="77" t="str">
        <f>DataSiswa!B14</f>
        <v>9980817555</v>
      </c>
      <c r="D20" s="78" t="str">
        <f>DataSiswa!C14</f>
        <v>Dina Mardana Dulas</v>
      </c>
      <c r="E20" s="242">
        <v>84</v>
      </c>
      <c r="F20" s="79">
        <v>85</v>
      </c>
      <c r="G20" s="80" t="s">
        <v>24</v>
      </c>
      <c r="H20" s="227">
        <f t="shared" si="0"/>
        <v>3.36</v>
      </c>
      <c r="I20" s="227">
        <f t="shared" si="1"/>
        <v>3.4</v>
      </c>
      <c r="J20" s="93" t="s">
        <v>563</v>
      </c>
      <c r="K20" s="96" t="s">
        <v>566</v>
      </c>
      <c r="L20" s="238" t="s">
        <v>382</v>
      </c>
      <c r="M20" s="82"/>
    </row>
    <row r="21" spans="2:13" ht="50.1" customHeight="1">
      <c r="B21" s="76">
        <v>8</v>
      </c>
      <c r="C21" s="77" t="str">
        <f>DataSiswa!B15</f>
        <v>9980817812</v>
      </c>
      <c r="D21" s="78" t="str">
        <f>DataSiswa!C15</f>
        <v>Famella Putriadi</v>
      </c>
      <c r="E21" s="242">
        <v>82</v>
      </c>
      <c r="F21" s="79">
        <v>85</v>
      </c>
      <c r="G21" s="80" t="s">
        <v>24</v>
      </c>
      <c r="H21" s="227">
        <f t="shared" si="0"/>
        <v>3.28</v>
      </c>
      <c r="I21" s="227">
        <f t="shared" si="1"/>
        <v>3.4</v>
      </c>
      <c r="J21" s="93" t="s">
        <v>563</v>
      </c>
      <c r="K21" s="96" t="s">
        <v>566</v>
      </c>
      <c r="L21" s="238" t="s">
        <v>382</v>
      </c>
      <c r="M21" s="82"/>
    </row>
    <row r="22" spans="2:13" ht="50.1" customHeight="1">
      <c r="B22" s="76">
        <v>9</v>
      </c>
      <c r="C22" s="77" t="str">
        <f>DataSiswa!B16</f>
        <v>9986349049</v>
      </c>
      <c r="D22" s="78" t="str">
        <f>DataSiswa!C16</f>
        <v>Febrawati Fajlynd</v>
      </c>
      <c r="E22" s="242">
        <v>84</v>
      </c>
      <c r="F22" s="79">
        <v>86</v>
      </c>
      <c r="G22" s="80" t="s">
        <v>24</v>
      </c>
      <c r="H22" s="227">
        <f t="shared" si="0"/>
        <v>3.36</v>
      </c>
      <c r="I22" s="227">
        <f t="shared" si="1"/>
        <v>3.44</v>
      </c>
      <c r="J22" s="93" t="s">
        <v>563</v>
      </c>
      <c r="K22" s="96" t="s">
        <v>566</v>
      </c>
      <c r="L22" s="238" t="s">
        <v>382</v>
      </c>
      <c r="M22" s="82"/>
    </row>
    <row r="23" spans="2:13" ht="50.1" customHeight="1">
      <c r="B23" s="76">
        <v>10</v>
      </c>
      <c r="C23" s="77" t="str">
        <f>DataSiswa!B17</f>
        <v>9980673410</v>
      </c>
      <c r="D23" s="78" t="str">
        <f>DataSiswa!C17</f>
        <v>Fierro Perdana Ibrahim</v>
      </c>
      <c r="E23" s="242">
        <v>84</v>
      </c>
      <c r="F23" s="79">
        <v>83</v>
      </c>
      <c r="G23" s="80" t="s">
        <v>24</v>
      </c>
      <c r="H23" s="227">
        <f t="shared" si="0"/>
        <v>3.36</v>
      </c>
      <c r="I23" s="227">
        <f t="shared" si="1"/>
        <v>3.32</v>
      </c>
      <c r="J23" s="93" t="s">
        <v>564</v>
      </c>
      <c r="K23" s="96" t="s">
        <v>566</v>
      </c>
      <c r="L23" s="238" t="s">
        <v>382</v>
      </c>
      <c r="M23" s="82"/>
    </row>
    <row r="24" spans="2:13" ht="50.1" customHeight="1">
      <c r="B24" s="76">
        <v>11</v>
      </c>
      <c r="C24" s="77" t="str">
        <f>DataSiswa!B18</f>
        <v>9980817833</v>
      </c>
      <c r="D24" s="78" t="str">
        <f>DataSiswa!C18</f>
        <v>Jihan Salsabilla</v>
      </c>
      <c r="E24" s="242">
        <v>89</v>
      </c>
      <c r="F24" s="79">
        <v>86</v>
      </c>
      <c r="G24" s="80" t="s">
        <v>24</v>
      </c>
      <c r="H24" s="227">
        <f t="shared" si="0"/>
        <v>3.56</v>
      </c>
      <c r="I24" s="227">
        <f t="shared" si="1"/>
        <v>3.44</v>
      </c>
      <c r="J24" s="93" t="s">
        <v>565</v>
      </c>
      <c r="K24" s="96" t="s">
        <v>567</v>
      </c>
      <c r="L24" s="238" t="s">
        <v>382</v>
      </c>
      <c r="M24" s="82"/>
    </row>
    <row r="25" spans="2:13" ht="50.1" customHeight="1">
      <c r="B25" s="76">
        <v>12</v>
      </c>
      <c r="C25" s="77" t="str">
        <f>DataSiswa!B19</f>
        <v>9980065874</v>
      </c>
      <c r="D25" s="78" t="str">
        <f>DataSiswa!C19</f>
        <v>Karina Safira Rannas</v>
      </c>
      <c r="E25" s="242">
        <v>82</v>
      </c>
      <c r="F25" s="79">
        <v>85</v>
      </c>
      <c r="G25" s="80" t="s">
        <v>24</v>
      </c>
      <c r="H25" s="227">
        <f t="shared" si="0"/>
        <v>3.28</v>
      </c>
      <c r="I25" s="227">
        <f t="shared" si="1"/>
        <v>3.4</v>
      </c>
      <c r="J25" s="93" t="s">
        <v>563</v>
      </c>
      <c r="K25" s="96" t="s">
        <v>566</v>
      </c>
      <c r="L25" s="238" t="s">
        <v>382</v>
      </c>
      <c r="M25" s="82"/>
    </row>
    <row r="26" spans="2:13" ht="50.1" customHeight="1">
      <c r="B26" s="76">
        <v>13</v>
      </c>
      <c r="C26" s="77" t="str">
        <f>DataSiswa!B20</f>
        <v>9970816998</v>
      </c>
      <c r="D26" s="78" t="str">
        <f>DataSiswa!C20</f>
        <v>Loura Oktaviola</v>
      </c>
      <c r="E26" s="242">
        <v>83</v>
      </c>
      <c r="F26" s="79">
        <v>85</v>
      </c>
      <c r="G26" s="80" t="s">
        <v>24</v>
      </c>
      <c r="H26" s="227">
        <f t="shared" si="0"/>
        <v>3.32</v>
      </c>
      <c r="I26" s="227">
        <f t="shared" si="1"/>
        <v>3.4</v>
      </c>
      <c r="J26" s="93" t="s">
        <v>563</v>
      </c>
      <c r="K26" s="96" t="s">
        <v>566</v>
      </c>
      <c r="L26" s="428" t="s">
        <v>382</v>
      </c>
      <c r="M26" s="84"/>
    </row>
    <row r="27" spans="2:13" ht="50.1" customHeight="1">
      <c r="B27" s="76">
        <v>14</v>
      </c>
      <c r="C27" s="77" t="str">
        <f>DataSiswa!B21</f>
        <v>9982095456</v>
      </c>
      <c r="D27" s="78" t="str">
        <f>DataSiswa!C21</f>
        <v>Lauren Dwina Arini</v>
      </c>
      <c r="E27" s="242">
        <v>84</v>
      </c>
      <c r="F27" s="79">
        <v>85</v>
      </c>
      <c r="G27" s="80" t="s">
        <v>24</v>
      </c>
      <c r="H27" s="227">
        <f t="shared" si="0"/>
        <v>3.36</v>
      </c>
      <c r="I27" s="227">
        <f t="shared" si="1"/>
        <v>3.4</v>
      </c>
      <c r="J27" s="93" t="s">
        <v>563</v>
      </c>
      <c r="K27" s="96" t="s">
        <v>566</v>
      </c>
      <c r="L27" s="428" t="s">
        <v>382</v>
      </c>
      <c r="M27" s="85"/>
    </row>
    <row r="28" spans="2:13" ht="50.1" customHeight="1">
      <c r="B28" s="76">
        <v>15</v>
      </c>
      <c r="C28" s="77" t="str">
        <f>DataSiswa!B22</f>
        <v>9980817839</v>
      </c>
      <c r="D28" s="78" t="str">
        <f>DataSiswa!C22</f>
        <v>Leoni Syagna Velia</v>
      </c>
      <c r="E28" s="242">
        <v>91</v>
      </c>
      <c r="F28" s="79">
        <v>88</v>
      </c>
      <c r="G28" s="79" t="s">
        <v>334</v>
      </c>
      <c r="H28" s="227">
        <f t="shared" si="0"/>
        <v>3.64</v>
      </c>
      <c r="I28" s="227">
        <f t="shared" si="1"/>
        <v>3.52</v>
      </c>
      <c r="J28" s="420" t="s">
        <v>565</v>
      </c>
      <c r="K28" s="424" t="s">
        <v>566</v>
      </c>
      <c r="L28" s="428" t="s">
        <v>383</v>
      </c>
      <c r="M28" s="85"/>
    </row>
    <row r="29" spans="2:13" ht="50.1" customHeight="1">
      <c r="B29" s="76">
        <v>16</v>
      </c>
      <c r="C29" s="77" t="str">
        <f>DataSiswa!B23</f>
        <v>9982885002</v>
      </c>
      <c r="D29" s="78" t="str">
        <f>DataSiswa!C23</f>
        <v>Mia Larisa Waskito</v>
      </c>
      <c r="E29" s="242">
        <v>91</v>
      </c>
      <c r="F29" s="79">
        <v>88</v>
      </c>
      <c r="G29" s="79" t="s">
        <v>334</v>
      </c>
      <c r="H29" s="227">
        <f t="shared" si="0"/>
        <v>3.64</v>
      </c>
      <c r="I29" s="227">
        <f t="shared" si="1"/>
        <v>3.52</v>
      </c>
      <c r="J29" s="420" t="s">
        <v>565</v>
      </c>
      <c r="K29" s="424" t="s">
        <v>566</v>
      </c>
      <c r="L29" s="428" t="s">
        <v>383</v>
      </c>
      <c r="M29" s="85"/>
    </row>
    <row r="30" spans="2:13" ht="50.1" customHeight="1">
      <c r="B30" s="76">
        <v>17</v>
      </c>
      <c r="C30" s="77" t="str">
        <f>DataSiswa!B24</f>
        <v>9983996707</v>
      </c>
      <c r="D30" s="78" t="str">
        <f>DataSiswa!C24</f>
        <v>Muhammad Fadel</v>
      </c>
      <c r="E30" s="242">
        <v>92</v>
      </c>
      <c r="F30" s="79">
        <v>88</v>
      </c>
      <c r="G30" s="79" t="s">
        <v>334</v>
      </c>
      <c r="H30" s="227">
        <f t="shared" si="0"/>
        <v>3.68</v>
      </c>
      <c r="I30" s="227">
        <f t="shared" si="1"/>
        <v>3.52</v>
      </c>
      <c r="J30" s="420" t="s">
        <v>565</v>
      </c>
      <c r="K30" s="424" t="s">
        <v>566</v>
      </c>
      <c r="L30" s="428" t="s">
        <v>383</v>
      </c>
      <c r="M30" s="85"/>
    </row>
    <row r="31" spans="2:13" ht="50.1" customHeight="1">
      <c r="B31" s="76">
        <v>18</v>
      </c>
      <c r="C31" s="77" t="str">
        <f>DataSiswa!B25</f>
        <v>9981328630</v>
      </c>
      <c r="D31" s="78" t="str">
        <f>DataSiswa!C25</f>
        <v>Muhammad Ilham Fajri</v>
      </c>
      <c r="E31" s="242">
        <v>83</v>
      </c>
      <c r="F31" s="79">
        <v>86</v>
      </c>
      <c r="G31" s="79" t="s">
        <v>24</v>
      </c>
      <c r="H31" s="227">
        <f t="shared" si="0"/>
        <v>3.32</v>
      </c>
      <c r="I31" s="227">
        <f t="shared" si="1"/>
        <v>3.44</v>
      </c>
      <c r="J31" s="420" t="s">
        <v>563</v>
      </c>
      <c r="K31" s="424" t="s">
        <v>566</v>
      </c>
      <c r="L31" s="428" t="s">
        <v>382</v>
      </c>
      <c r="M31" s="85"/>
    </row>
    <row r="32" spans="2:13" ht="50.1" customHeight="1">
      <c r="B32" s="76">
        <v>19</v>
      </c>
      <c r="C32" s="77" t="str">
        <f>DataSiswa!B26</f>
        <v>9980830799</v>
      </c>
      <c r="D32" s="78" t="str">
        <f>DataSiswa!C26</f>
        <v>Muhammad Irfan</v>
      </c>
      <c r="E32" s="242">
        <v>94</v>
      </c>
      <c r="F32" s="79">
        <v>88</v>
      </c>
      <c r="G32" s="79" t="s">
        <v>334</v>
      </c>
      <c r="H32" s="227">
        <f t="shared" si="0"/>
        <v>3.76</v>
      </c>
      <c r="I32" s="227">
        <f t="shared" si="1"/>
        <v>3.52</v>
      </c>
      <c r="J32" s="420" t="s">
        <v>565</v>
      </c>
      <c r="K32" s="424" t="s">
        <v>566</v>
      </c>
      <c r="L32" s="428" t="s">
        <v>384</v>
      </c>
      <c r="M32" s="85"/>
    </row>
    <row r="33" spans="2:13" ht="50.1" customHeight="1">
      <c r="B33" s="76">
        <v>20</v>
      </c>
      <c r="C33" s="77" t="str">
        <f>DataSiswa!B27</f>
        <v>9981704177</v>
      </c>
      <c r="D33" s="78" t="str">
        <f>DataSiswa!C27</f>
        <v>Naura Cantika</v>
      </c>
      <c r="E33" s="242">
        <v>91</v>
      </c>
      <c r="F33" s="79">
        <v>88</v>
      </c>
      <c r="G33" s="79" t="s">
        <v>334</v>
      </c>
      <c r="H33" s="227">
        <f t="shared" si="0"/>
        <v>3.64</v>
      </c>
      <c r="I33" s="227">
        <f t="shared" si="1"/>
        <v>3.52</v>
      </c>
      <c r="J33" s="420" t="s">
        <v>565</v>
      </c>
      <c r="K33" s="424" t="s">
        <v>566</v>
      </c>
      <c r="L33" s="428" t="s">
        <v>383</v>
      </c>
      <c r="M33" s="85"/>
    </row>
    <row r="34" spans="2:13" ht="50.1" customHeight="1">
      <c r="B34" s="76">
        <v>21</v>
      </c>
      <c r="C34" s="77" t="str">
        <f>DataSiswa!B28</f>
        <v>9980810523</v>
      </c>
      <c r="D34" s="78" t="str">
        <f>DataSiswa!C28</f>
        <v>Nurul Putri Salsabila</v>
      </c>
      <c r="E34" s="242">
        <v>89</v>
      </c>
      <c r="F34" s="79">
        <v>85</v>
      </c>
      <c r="G34" s="79" t="s">
        <v>24</v>
      </c>
      <c r="H34" s="227">
        <f t="shared" si="0"/>
        <v>3.56</v>
      </c>
      <c r="I34" s="227">
        <f t="shared" si="1"/>
        <v>3.4</v>
      </c>
      <c r="J34" s="420" t="s">
        <v>565</v>
      </c>
      <c r="K34" s="424" t="s">
        <v>566</v>
      </c>
      <c r="L34" s="428" t="s">
        <v>382</v>
      </c>
      <c r="M34" s="85"/>
    </row>
    <row r="35" spans="2:13" ht="50.1" customHeight="1">
      <c r="B35" s="76">
        <v>22</v>
      </c>
      <c r="C35" s="77" t="str">
        <f>DataSiswa!B29</f>
        <v>9998982066</v>
      </c>
      <c r="D35" s="78" t="str">
        <f>DataSiswa!C29</f>
        <v>Rafi Fikriya Riza</v>
      </c>
      <c r="E35" s="242">
        <v>91</v>
      </c>
      <c r="F35" s="79">
        <v>88</v>
      </c>
      <c r="G35" s="79" t="s">
        <v>334</v>
      </c>
      <c r="H35" s="227">
        <f t="shared" si="0"/>
        <v>3.64</v>
      </c>
      <c r="I35" s="227">
        <f t="shared" si="1"/>
        <v>3.52</v>
      </c>
      <c r="J35" s="420" t="s">
        <v>565</v>
      </c>
      <c r="K35" s="424" t="s">
        <v>566</v>
      </c>
      <c r="L35" s="428" t="s">
        <v>383</v>
      </c>
      <c r="M35" s="85"/>
    </row>
    <row r="36" spans="2:13" ht="50.1" customHeight="1">
      <c r="B36" s="76">
        <v>23</v>
      </c>
      <c r="C36" s="77" t="str">
        <f>DataSiswa!B30</f>
        <v>9985967994</v>
      </c>
      <c r="D36" s="78" t="str">
        <f>DataSiswa!C30</f>
        <v>Restu Tria Bahri</v>
      </c>
      <c r="E36" s="242">
        <v>84</v>
      </c>
      <c r="F36" s="79">
        <v>85</v>
      </c>
      <c r="G36" s="79" t="s">
        <v>24</v>
      </c>
      <c r="H36" s="227">
        <f t="shared" si="0"/>
        <v>3.36</v>
      </c>
      <c r="I36" s="227">
        <f t="shared" si="1"/>
        <v>3.4</v>
      </c>
      <c r="J36" s="420" t="s">
        <v>564</v>
      </c>
      <c r="K36" s="424" t="s">
        <v>566</v>
      </c>
      <c r="L36" s="428" t="s">
        <v>382</v>
      </c>
      <c r="M36" s="85"/>
    </row>
    <row r="37" spans="2:13" ht="50.1" customHeight="1">
      <c r="B37" s="76">
        <v>24</v>
      </c>
      <c r="C37" s="77" t="str">
        <f>DataSiswa!B31</f>
        <v>9980799351</v>
      </c>
      <c r="D37" s="78" t="str">
        <f>DataSiswa!C31</f>
        <v>Rifka Esofita</v>
      </c>
      <c r="E37" s="242">
        <v>86</v>
      </c>
      <c r="F37" s="79">
        <v>85</v>
      </c>
      <c r="G37" s="79" t="s">
        <v>24</v>
      </c>
      <c r="H37" s="227">
        <f t="shared" si="0"/>
        <v>3.44</v>
      </c>
      <c r="I37" s="227">
        <f t="shared" si="1"/>
        <v>3.4</v>
      </c>
      <c r="J37" s="420" t="s">
        <v>563</v>
      </c>
      <c r="K37" s="424" t="s">
        <v>566</v>
      </c>
      <c r="L37" s="428" t="s">
        <v>382</v>
      </c>
      <c r="M37" s="85"/>
    </row>
    <row r="38" spans="2:13" ht="50.1" customHeight="1">
      <c r="B38" s="76">
        <v>25</v>
      </c>
      <c r="C38" s="77" t="str">
        <f>DataSiswa!B32</f>
        <v>9982095495</v>
      </c>
      <c r="D38" s="78" t="str">
        <f>DataSiswa!C32</f>
        <v>Rifo Ranofan</v>
      </c>
      <c r="E38" s="242">
        <v>90</v>
      </c>
      <c r="F38" s="79">
        <v>87</v>
      </c>
      <c r="G38" s="79" t="s">
        <v>334</v>
      </c>
      <c r="H38" s="227">
        <f t="shared" si="0"/>
        <v>3.6</v>
      </c>
      <c r="I38" s="227">
        <f t="shared" si="1"/>
        <v>3.48</v>
      </c>
      <c r="J38" s="420" t="s">
        <v>565</v>
      </c>
      <c r="K38" s="424" t="s">
        <v>566</v>
      </c>
      <c r="L38" s="428" t="s">
        <v>383</v>
      </c>
      <c r="M38" s="85"/>
    </row>
    <row r="39" spans="2:13" ht="50.1" customHeight="1">
      <c r="B39" s="76">
        <v>26</v>
      </c>
      <c r="C39" s="77" t="str">
        <f>DataSiswa!B33</f>
        <v>9985858026</v>
      </c>
      <c r="D39" s="78" t="str">
        <f>DataSiswa!C33</f>
        <v>Stephany Widyanti</v>
      </c>
      <c r="E39" s="242">
        <v>87</v>
      </c>
      <c r="F39" s="79">
        <v>85</v>
      </c>
      <c r="G39" s="79" t="s">
        <v>24</v>
      </c>
      <c r="H39" s="227">
        <f t="shared" si="0"/>
        <v>3.48</v>
      </c>
      <c r="I39" s="227">
        <f t="shared" si="1"/>
        <v>3.4</v>
      </c>
      <c r="J39" s="420" t="s">
        <v>563</v>
      </c>
      <c r="K39" s="424" t="s">
        <v>566</v>
      </c>
      <c r="L39" s="428" t="s">
        <v>382</v>
      </c>
      <c r="M39" s="85"/>
    </row>
    <row r="40" spans="2:13" ht="50.1" customHeight="1">
      <c r="B40" s="76">
        <v>27</v>
      </c>
      <c r="C40" s="77" t="str">
        <f>DataSiswa!B34</f>
        <v>9980818512</v>
      </c>
      <c r="D40" s="78" t="str">
        <f>DataSiswa!C34</f>
        <v>Tiara Yulianti</v>
      </c>
      <c r="E40" s="242">
        <v>86</v>
      </c>
      <c r="F40" s="79">
        <v>85</v>
      </c>
      <c r="G40" s="79" t="s">
        <v>24</v>
      </c>
      <c r="H40" s="227">
        <f t="shared" si="0"/>
        <v>3.44</v>
      </c>
      <c r="I40" s="227">
        <f t="shared" si="1"/>
        <v>3.4</v>
      </c>
      <c r="J40" s="420" t="s">
        <v>563</v>
      </c>
      <c r="K40" s="424" t="s">
        <v>566</v>
      </c>
      <c r="L40" s="428" t="s">
        <v>382</v>
      </c>
      <c r="M40" s="85"/>
    </row>
    <row r="41" spans="2:13" ht="50.1" customHeight="1">
      <c r="B41" s="76">
        <v>28</v>
      </c>
      <c r="C41" s="77" t="str">
        <f>DataSiswa!B35</f>
        <v>9982393794</v>
      </c>
      <c r="D41" s="78" t="str">
        <f>DataSiswa!C35</f>
        <v>Tika Wandira</v>
      </c>
      <c r="E41" s="242">
        <v>84</v>
      </c>
      <c r="F41" s="79">
        <v>85</v>
      </c>
      <c r="G41" s="79" t="s">
        <v>24</v>
      </c>
      <c r="H41" s="227">
        <f t="shared" si="0"/>
        <v>3.36</v>
      </c>
      <c r="I41" s="227">
        <f t="shared" si="1"/>
        <v>3.4</v>
      </c>
      <c r="J41" s="420" t="s">
        <v>563</v>
      </c>
      <c r="K41" s="424" t="s">
        <v>566</v>
      </c>
      <c r="L41" s="428" t="s">
        <v>382</v>
      </c>
      <c r="M41" s="85"/>
    </row>
    <row r="42" spans="2:13" ht="50.1" customHeight="1">
      <c r="B42" s="76">
        <v>29</v>
      </c>
      <c r="C42" s="77" t="str">
        <f>DataSiswa!B36</f>
        <v>9980818720</v>
      </c>
      <c r="D42" s="78" t="str">
        <f>DataSiswa!C36</f>
        <v>Ulfa Febriyani</v>
      </c>
      <c r="E42" s="242">
        <v>84</v>
      </c>
      <c r="F42" s="79">
        <v>84</v>
      </c>
      <c r="G42" s="79" t="s">
        <v>24</v>
      </c>
      <c r="H42" s="227">
        <f t="shared" si="0"/>
        <v>3.36</v>
      </c>
      <c r="I42" s="227">
        <f t="shared" si="1"/>
        <v>3.36</v>
      </c>
      <c r="J42" s="420" t="s">
        <v>563</v>
      </c>
      <c r="K42" s="424" t="s">
        <v>566</v>
      </c>
      <c r="L42" s="428" t="s">
        <v>382</v>
      </c>
      <c r="M42" s="85"/>
    </row>
    <row r="43" spans="2:13" ht="50.1" customHeight="1">
      <c r="B43" s="76">
        <v>30</v>
      </c>
      <c r="C43" s="77" t="str">
        <f>DataSiswa!B37</f>
        <v>9990756408</v>
      </c>
      <c r="D43" s="78" t="str">
        <f>DataSiswa!C37</f>
        <v>Valdy Filando Sardi</v>
      </c>
      <c r="E43" s="242">
        <v>92</v>
      </c>
      <c r="F43" s="79">
        <v>88</v>
      </c>
      <c r="G43" s="79" t="s">
        <v>334</v>
      </c>
      <c r="H43" s="227">
        <f t="shared" si="0"/>
        <v>3.68</v>
      </c>
      <c r="I43" s="227">
        <f t="shared" si="1"/>
        <v>3.52</v>
      </c>
      <c r="J43" s="420" t="s">
        <v>565</v>
      </c>
      <c r="K43" s="424" t="s">
        <v>566</v>
      </c>
      <c r="L43" s="428" t="s">
        <v>383</v>
      </c>
      <c r="M43" s="85"/>
    </row>
    <row r="44" spans="2:13" ht="50.1" customHeight="1">
      <c r="B44" s="76">
        <v>31</v>
      </c>
      <c r="C44" s="77" t="str">
        <f>DataSiswa!B38</f>
        <v>9980816670</v>
      </c>
      <c r="D44" s="78" t="str">
        <f>DataSiswa!C38</f>
        <v>Vonny Maitaveri</v>
      </c>
      <c r="E44" s="242">
        <v>84</v>
      </c>
      <c r="F44" s="79">
        <v>85</v>
      </c>
      <c r="G44" s="79" t="s">
        <v>24</v>
      </c>
      <c r="H44" s="227">
        <f t="shared" si="0"/>
        <v>3.36</v>
      </c>
      <c r="I44" s="227">
        <f t="shared" si="1"/>
        <v>3.4</v>
      </c>
      <c r="J44" s="420" t="s">
        <v>563</v>
      </c>
      <c r="K44" s="424" t="s">
        <v>566</v>
      </c>
      <c r="L44" s="428" t="s">
        <v>382</v>
      </c>
      <c r="M44" s="85"/>
    </row>
    <row r="45" spans="2:13" ht="50.1" customHeight="1">
      <c r="B45" s="76">
        <v>32</v>
      </c>
      <c r="C45" s="77" t="str">
        <f>DataSiswa!B39</f>
        <v>9982889268</v>
      </c>
      <c r="D45" s="78" t="str">
        <f>DataSiswa!C39</f>
        <v>Wahyu Yolanda</v>
      </c>
      <c r="E45" s="242">
        <v>91</v>
      </c>
      <c r="F45" s="79">
        <v>85</v>
      </c>
      <c r="G45" s="79" t="s">
        <v>24</v>
      </c>
      <c r="H45" s="227">
        <f t="shared" si="0"/>
        <v>3.64</v>
      </c>
      <c r="I45" s="227">
        <f t="shared" si="1"/>
        <v>3.4</v>
      </c>
      <c r="J45" s="420" t="s">
        <v>565</v>
      </c>
      <c r="K45" s="424" t="s">
        <v>566</v>
      </c>
      <c r="L45" s="428" t="s">
        <v>568</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pageSetup paperSize="9"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B1:M54"/>
  <sheetViews>
    <sheetView topLeftCell="A45"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DataGuru!C24</f>
        <v>Sejarah Indonesia</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DataGuru!D24</f>
        <v>Drs. Alfurqan, M.Pd</v>
      </c>
      <c r="F9" s="566">
        <f>DataGuru!E24</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50.1" customHeight="1">
      <c r="B14" s="76">
        <v>1</v>
      </c>
      <c r="C14" s="77" t="str">
        <f>DataSiswa!B8</f>
        <v>9986980442</v>
      </c>
      <c r="D14" s="78" t="str">
        <f>DataSiswa!C8</f>
        <v>Aditya Taufik Sastra</v>
      </c>
      <c r="E14" s="242">
        <v>85</v>
      </c>
      <c r="F14" s="79">
        <v>85</v>
      </c>
      <c r="G14" s="80" t="s">
        <v>24</v>
      </c>
      <c r="H14" s="227">
        <f>(E14/100)*4</f>
        <v>3.4</v>
      </c>
      <c r="I14" s="227">
        <f>(F14/100)*4</f>
        <v>3.4</v>
      </c>
      <c r="J14" s="240" t="s">
        <v>598</v>
      </c>
      <c r="K14" s="241" t="s">
        <v>601</v>
      </c>
      <c r="L14" s="432" t="s">
        <v>382</v>
      </c>
      <c r="M14" s="81"/>
    </row>
    <row r="15" spans="2:13" ht="50.1" customHeight="1">
      <c r="B15" s="76">
        <v>2</v>
      </c>
      <c r="C15" s="77" t="str">
        <f>DataSiswa!B9</f>
        <v>9982907972</v>
      </c>
      <c r="D15" s="78" t="str">
        <f>DataSiswa!C9</f>
        <v>Angger Ghufron Pangestu</v>
      </c>
      <c r="E15" s="242">
        <v>86</v>
      </c>
      <c r="F15" s="79">
        <v>82</v>
      </c>
      <c r="G15" s="80" t="s">
        <v>24</v>
      </c>
      <c r="H15" s="227">
        <f t="shared" ref="H15:H53" si="0">(E15/100)*4</f>
        <v>3.44</v>
      </c>
      <c r="I15" s="227">
        <f t="shared" ref="I15:I53" si="1">(F15/100)*4</f>
        <v>3.28</v>
      </c>
      <c r="J15" s="240" t="s">
        <v>598</v>
      </c>
      <c r="K15" s="241" t="s">
        <v>601</v>
      </c>
      <c r="L15" s="432" t="s">
        <v>382</v>
      </c>
      <c r="M15" s="82"/>
    </row>
    <row r="16" spans="2:13" ht="50.1" customHeight="1">
      <c r="B16" s="76">
        <v>3</v>
      </c>
      <c r="C16" s="77" t="str">
        <f>DataSiswa!B10</f>
        <v>9983601594</v>
      </c>
      <c r="D16" s="78" t="str">
        <f>DataSiswa!C10</f>
        <v>Anjellia Novia Safitri</v>
      </c>
      <c r="E16" s="242">
        <v>85</v>
      </c>
      <c r="F16" s="79">
        <v>84</v>
      </c>
      <c r="G16" s="80" t="s">
        <v>24</v>
      </c>
      <c r="H16" s="227">
        <f t="shared" si="0"/>
        <v>3.4</v>
      </c>
      <c r="I16" s="227">
        <f t="shared" si="1"/>
        <v>3.36</v>
      </c>
      <c r="J16" s="240" t="s">
        <v>598</v>
      </c>
      <c r="K16" s="241" t="s">
        <v>601</v>
      </c>
      <c r="L16" s="432" t="s">
        <v>382</v>
      </c>
      <c r="M16" s="82"/>
    </row>
    <row r="17" spans="2:13" ht="50.1" customHeight="1">
      <c r="B17" s="76">
        <v>4</v>
      </c>
      <c r="C17" s="77" t="str">
        <f>DataSiswa!B11</f>
        <v>9989091797</v>
      </c>
      <c r="D17" s="78" t="str">
        <f>DataSiswa!C11</f>
        <v>Azis Fahrozi</v>
      </c>
      <c r="E17" s="242">
        <v>84</v>
      </c>
      <c r="F17" s="79">
        <v>81</v>
      </c>
      <c r="G17" s="80" t="s">
        <v>24</v>
      </c>
      <c r="H17" s="227">
        <f t="shared" si="0"/>
        <v>3.36</v>
      </c>
      <c r="I17" s="227">
        <f t="shared" si="1"/>
        <v>3.24</v>
      </c>
      <c r="J17" s="240" t="s">
        <v>598</v>
      </c>
      <c r="K17" s="241" t="s">
        <v>601</v>
      </c>
      <c r="L17" s="432" t="s">
        <v>382</v>
      </c>
      <c r="M17" s="82"/>
    </row>
    <row r="18" spans="2:13" ht="50.1" customHeight="1">
      <c r="B18" s="76">
        <v>5</v>
      </c>
      <c r="C18" s="77" t="str">
        <f>DataSiswa!B12</f>
        <v>9989983501</v>
      </c>
      <c r="D18" s="78" t="str">
        <f>DataSiswa!C12</f>
        <v>Berliana Monica</v>
      </c>
      <c r="E18" s="242">
        <v>89</v>
      </c>
      <c r="F18" s="79">
        <v>84</v>
      </c>
      <c r="G18" s="80" t="s">
        <v>24</v>
      </c>
      <c r="H18" s="227">
        <f t="shared" si="0"/>
        <v>3.56</v>
      </c>
      <c r="I18" s="227">
        <f t="shared" si="1"/>
        <v>3.36</v>
      </c>
      <c r="J18" s="240" t="s">
        <v>599</v>
      </c>
      <c r="K18" s="241" t="s">
        <v>601</v>
      </c>
      <c r="L18" s="432" t="s">
        <v>382</v>
      </c>
      <c r="M18" s="82"/>
    </row>
    <row r="19" spans="2:13" ht="50.1" customHeight="1">
      <c r="B19" s="76">
        <v>6</v>
      </c>
      <c r="C19" s="77" t="str">
        <f>DataSiswa!B13</f>
        <v>9970817548</v>
      </c>
      <c r="D19" s="78" t="str">
        <f>DataSiswa!C13</f>
        <v>Defri Nofriadi</v>
      </c>
      <c r="E19" s="242">
        <v>89</v>
      </c>
      <c r="F19" s="79">
        <v>85</v>
      </c>
      <c r="G19" s="80" t="s">
        <v>24</v>
      </c>
      <c r="H19" s="227">
        <f t="shared" si="0"/>
        <v>3.56</v>
      </c>
      <c r="I19" s="227">
        <f t="shared" si="1"/>
        <v>3.4</v>
      </c>
      <c r="J19" s="240" t="s">
        <v>599</v>
      </c>
      <c r="K19" s="241" t="s">
        <v>601</v>
      </c>
      <c r="L19" s="432" t="s">
        <v>382</v>
      </c>
      <c r="M19" s="82"/>
    </row>
    <row r="20" spans="2:13" ht="50.1" customHeight="1">
      <c r="B20" s="76">
        <v>7</v>
      </c>
      <c r="C20" s="77" t="str">
        <f>DataSiswa!B14</f>
        <v>9980817555</v>
      </c>
      <c r="D20" s="78" t="str">
        <f>DataSiswa!C14</f>
        <v>Dina Mardana Dulas</v>
      </c>
      <c r="E20" s="242">
        <v>86</v>
      </c>
      <c r="F20" s="79">
        <v>84</v>
      </c>
      <c r="G20" s="80" t="s">
        <v>24</v>
      </c>
      <c r="H20" s="227">
        <f t="shared" si="0"/>
        <v>3.44</v>
      </c>
      <c r="I20" s="227">
        <f t="shared" si="1"/>
        <v>3.36</v>
      </c>
      <c r="J20" s="240" t="s">
        <v>598</v>
      </c>
      <c r="K20" s="241" t="s">
        <v>601</v>
      </c>
      <c r="L20" s="432" t="s">
        <v>382</v>
      </c>
      <c r="M20" s="82"/>
    </row>
    <row r="21" spans="2:13" ht="50.1" customHeight="1">
      <c r="B21" s="76">
        <v>8</v>
      </c>
      <c r="C21" s="77" t="str">
        <f>DataSiswa!B15</f>
        <v>9980817812</v>
      </c>
      <c r="D21" s="78" t="str">
        <f>DataSiswa!C15</f>
        <v>Famella Putriadi</v>
      </c>
      <c r="E21" s="242">
        <v>88</v>
      </c>
      <c r="F21" s="79">
        <v>85</v>
      </c>
      <c r="G21" s="80" t="s">
        <v>24</v>
      </c>
      <c r="H21" s="227">
        <f t="shared" si="0"/>
        <v>3.52</v>
      </c>
      <c r="I21" s="227">
        <f t="shared" si="1"/>
        <v>3.4</v>
      </c>
      <c r="J21" s="240" t="s">
        <v>598</v>
      </c>
      <c r="K21" s="241" t="s">
        <v>601</v>
      </c>
      <c r="L21" s="432" t="s">
        <v>382</v>
      </c>
      <c r="M21" s="82"/>
    </row>
    <row r="22" spans="2:13" ht="50.1" customHeight="1">
      <c r="B22" s="76">
        <v>9</v>
      </c>
      <c r="C22" s="77" t="str">
        <f>DataSiswa!B16</f>
        <v>9986349049</v>
      </c>
      <c r="D22" s="78" t="str">
        <f>DataSiswa!C16</f>
        <v>Febrawati Fajlynd</v>
      </c>
      <c r="E22" s="242">
        <v>85</v>
      </c>
      <c r="F22" s="79">
        <v>84</v>
      </c>
      <c r="G22" s="80" t="s">
        <v>24</v>
      </c>
      <c r="H22" s="227">
        <f t="shared" si="0"/>
        <v>3.4</v>
      </c>
      <c r="I22" s="227">
        <f t="shared" si="1"/>
        <v>3.36</v>
      </c>
      <c r="J22" s="240" t="s">
        <v>598</v>
      </c>
      <c r="K22" s="241" t="s">
        <v>601</v>
      </c>
      <c r="L22" s="432" t="s">
        <v>382</v>
      </c>
      <c r="M22" s="82"/>
    </row>
    <row r="23" spans="2:13" ht="50.1" customHeight="1">
      <c r="B23" s="76">
        <v>10</v>
      </c>
      <c r="C23" s="77" t="str">
        <f>DataSiswa!B17</f>
        <v>9980673410</v>
      </c>
      <c r="D23" s="78" t="str">
        <f>DataSiswa!C17</f>
        <v>Fierro Perdana Ibrahim</v>
      </c>
      <c r="E23" s="242">
        <v>85</v>
      </c>
      <c r="F23" s="79">
        <v>80</v>
      </c>
      <c r="G23" s="80" t="s">
        <v>24</v>
      </c>
      <c r="H23" s="227">
        <f t="shared" si="0"/>
        <v>3.4</v>
      </c>
      <c r="I23" s="227">
        <f t="shared" si="1"/>
        <v>3.2</v>
      </c>
      <c r="J23" s="240" t="s">
        <v>600</v>
      </c>
      <c r="K23" s="241" t="s">
        <v>601</v>
      </c>
      <c r="L23" s="432" t="s">
        <v>382</v>
      </c>
      <c r="M23" s="82"/>
    </row>
    <row r="24" spans="2:13" ht="50.1" customHeight="1">
      <c r="B24" s="76">
        <v>11</v>
      </c>
      <c r="C24" s="77" t="str">
        <f>DataSiswa!B18</f>
        <v>9980817833</v>
      </c>
      <c r="D24" s="78" t="str">
        <f>DataSiswa!C18</f>
        <v>Jihan Salsabilla</v>
      </c>
      <c r="E24" s="242">
        <v>88</v>
      </c>
      <c r="F24" s="79">
        <v>85</v>
      </c>
      <c r="G24" s="80" t="s">
        <v>24</v>
      </c>
      <c r="H24" s="227">
        <f t="shared" si="0"/>
        <v>3.52</v>
      </c>
      <c r="I24" s="227">
        <f t="shared" si="1"/>
        <v>3.4</v>
      </c>
      <c r="J24" s="240" t="s">
        <v>598</v>
      </c>
      <c r="K24" s="241" t="s">
        <v>602</v>
      </c>
      <c r="L24" s="432" t="s">
        <v>382</v>
      </c>
      <c r="M24" s="82"/>
    </row>
    <row r="25" spans="2:13" ht="50.1" customHeight="1">
      <c r="B25" s="76">
        <v>12</v>
      </c>
      <c r="C25" s="77" t="str">
        <f>DataSiswa!B19</f>
        <v>9980065874</v>
      </c>
      <c r="D25" s="78" t="str">
        <f>DataSiswa!C19</f>
        <v>Karina Safira Rannas</v>
      </c>
      <c r="E25" s="242">
        <v>85</v>
      </c>
      <c r="F25" s="79">
        <v>85</v>
      </c>
      <c r="G25" s="80" t="s">
        <v>24</v>
      </c>
      <c r="H25" s="227">
        <f t="shared" si="0"/>
        <v>3.4</v>
      </c>
      <c r="I25" s="227">
        <f t="shared" si="1"/>
        <v>3.4</v>
      </c>
      <c r="J25" s="240" t="s">
        <v>598</v>
      </c>
      <c r="K25" s="241" t="s">
        <v>601</v>
      </c>
      <c r="L25" s="432" t="s">
        <v>382</v>
      </c>
      <c r="M25" s="82"/>
    </row>
    <row r="26" spans="2:13" ht="50.1" customHeight="1">
      <c r="B26" s="76">
        <v>13</v>
      </c>
      <c r="C26" s="77" t="str">
        <f>DataSiswa!B20</f>
        <v>9970816998</v>
      </c>
      <c r="D26" s="78" t="str">
        <f>DataSiswa!C20</f>
        <v>Loura Oktaviola</v>
      </c>
      <c r="E26" s="242">
        <v>88</v>
      </c>
      <c r="F26" s="79">
        <v>82</v>
      </c>
      <c r="G26" s="80" t="s">
        <v>24</v>
      </c>
      <c r="H26" s="227">
        <f t="shared" si="0"/>
        <v>3.52</v>
      </c>
      <c r="I26" s="227">
        <f t="shared" si="1"/>
        <v>3.28</v>
      </c>
      <c r="J26" s="240" t="s">
        <v>598</v>
      </c>
      <c r="K26" s="241" t="s">
        <v>601</v>
      </c>
      <c r="L26" s="433" t="s">
        <v>382</v>
      </c>
      <c r="M26" s="84"/>
    </row>
    <row r="27" spans="2:13" ht="50.1" customHeight="1">
      <c r="B27" s="76">
        <v>14</v>
      </c>
      <c r="C27" s="77" t="str">
        <f>DataSiswa!B21</f>
        <v>9982095456</v>
      </c>
      <c r="D27" s="78" t="str">
        <f>DataSiswa!C21</f>
        <v>Lauren Dwina Arini</v>
      </c>
      <c r="E27" s="242">
        <v>87</v>
      </c>
      <c r="F27" s="79">
        <v>84</v>
      </c>
      <c r="G27" s="80" t="s">
        <v>24</v>
      </c>
      <c r="H27" s="227">
        <f t="shared" si="0"/>
        <v>3.48</v>
      </c>
      <c r="I27" s="227">
        <f t="shared" si="1"/>
        <v>3.36</v>
      </c>
      <c r="J27" s="240" t="s">
        <v>598</v>
      </c>
      <c r="K27" s="241" t="s">
        <v>601</v>
      </c>
      <c r="L27" s="433" t="s">
        <v>382</v>
      </c>
      <c r="M27" s="85"/>
    </row>
    <row r="28" spans="2:13" ht="50.1" customHeight="1">
      <c r="B28" s="76">
        <v>15</v>
      </c>
      <c r="C28" s="77" t="str">
        <f>DataSiswa!B22</f>
        <v>9980817839</v>
      </c>
      <c r="D28" s="78" t="str">
        <f>DataSiswa!C22</f>
        <v>Leoni Syagna Velia</v>
      </c>
      <c r="E28" s="242">
        <v>86</v>
      </c>
      <c r="F28" s="79">
        <v>81</v>
      </c>
      <c r="G28" s="79" t="s">
        <v>24</v>
      </c>
      <c r="H28" s="227">
        <f t="shared" si="0"/>
        <v>3.44</v>
      </c>
      <c r="I28" s="227">
        <f t="shared" si="1"/>
        <v>3.24</v>
      </c>
      <c r="J28" s="429" t="s">
        <v>598</v>
      </c>
      <c r="K28" s="430" t="s">
        <v>601</v>
      </c>
      <c r="L28" s="433" t="s">
        <v>382</v>
      </c>
      <c r="M28" s="85"/>
    </row>
    <row r="29" spans="2:13" ht="50.1" customHeight="1">
      <c r="B29" s="76">
        <v>16</v>
      </c>
      <c r="C29" s="77" t="str">
        <f>DataSiswa!B23</f>
        <v>9982885002</v>
      </c>
      <c r="D29" s="78" t="str">
        <f>DataSiswa!C23</f>
        <v>Mia Larisa Waskito</v>
      </c>
      <c r="E29" s="242">
        <v>90</v>
      </c>
      <c r="F29" s="79">
        <v>90</v>
      </c>
      <c r="G29" s="79" t="s">
        <v>334</v>
      </c>
      <c r="H29" s="227">
        <f t="shared" si="0"/>
        <v>3.6</v>
      </c>
      <c r="I29" s="227">
        <f t="shared" si="1"/>
        <v>3.6</v>
      </c>
      <c r="J29" s="429" t="s">
        <v>599</v>
      </c>
      <c r="K29" s="430" t="s">
        <v>601</v>
      </c>
      <c r="L29" s="433" t="s">
        <v>383</v>
      </c>
      <c r="M29" s="85"/>
    </row>
    <row r="30" spans="2:13" ht="50.1" customHeight="1">
      <c r="B30" s="76">
        <v>17</v>
      </c>
      <c r="C30" s="77" t="str">
        <f>DataSiswa!B24</f>
        <v>9983996707</v>
      </c>
      <c r="D30" s="78" t="str">
        <f>DataSiswa!C24</f>
        <v>Muhammad Fadel</v>
      </c>
      <c r="E30" s="242">
        <v>88</v>
      </c>
      <c r="F30" s="79">
        <v>85</v>
      </c>
      <c r="G30" s="79" t="s">
        <v>24</v>
      </c>
      <c r="H30" s="227">
        <f t="shared" si="0"/>
        <v>3.52</v>
      </c>
      <c r="I30" s="227">
        <f t="shared" si="1"/>
        <v>3.4</v>
      </c>
      <c r="J30" s="429" t="s">
        <v>599</v>
      </c>
      <c r="K30" s="430" t="s">
        <v>601</v>
      </c>
      <c r="L30" s="433" t="s">
        <v>382</v>
      </c>
      <c r="M30" s="85"/>
    </row>
    <row r="31" spans="2:13" ht="50.1" customHeight="1">
      <c r="B31" s="76">
        <v>18</v>
      </c>
      <c r="C31" s="77" t="str">
        <f>DataSiswa!B25</f>
        <v>9981328630</v>
      </c>
      <c r="D31" s="78" t="str">
        <f>DataSiswa!C25</f>
        <v>Muhammad Ilham Fajri</v>
      </c>
      <c r="E31" s="242">
        <v>88</v>
      </c>
      <c r="F31" s="79">
        <v>84</v>
      </c>
      <c r="G31" s="79" t="s">
        <v>24</v>
      </c>
      <c r="H31" s="227">
        <f t="shared" si="0"/>
        <v>3.52</v>
      </c>
      <c r="I31" s="227">
        <f t="shared" si="1"/>
        <v>3.36</v>
      </c>
      <c r="J31" s="429" t="s">
        <v>599</v>
      </c>
      <c r="K31" s="430" t="s">
        <v>601</v>
      </c>
      <c r="L31" s="433" t="s">
        <v>382</v>
      </c>
      <c r="M31" s="85"/>
    </row>
    <row r="32" spans="2:13" ht="50.1" customHeight="1">
      <c r="B32" s="76">
        <v>19</v>
      </c>
      <c r="C32" s="77" t="str">
        <f>DataSiswa!B26</f>
        <v>9980830799</v>
      </c>
      <c r="D32" s="78" t="str">
        <f>DataSiswa!C26</f>
        <v>Muhammad Irfan</v>
      </c>
      <c r="E32" s="242">
        <v>90</v>
      </c>
      <c r="F32" s="79">
        <v>90</v>
      </c>
      <c r="G32" s="79" t="s">
        <v>334</v>
      </c>
      <c r="H32" s="227">
        <f t="shared" si="0"/>
        <v>3.6</v>
      </c>
      <c r="I32" s="227">
        <f t="shared" si="1"/>
        <v>3.6</v>
      </c>
      <c r="J32" s="429" t="s">
        <v>599</v>
      </c>
      <c r="K32" s="430" t="s">
        <v>601</v>
      </c>
      <c r="L32" s="433" t="s">
        <v>384</v>
      </c>
      <c r="M32" s="85"/>
    </row>
    <row r="33" spans="2:13" ht="50.1" customHeight="1">
      <c r="B33" s="76">
        <v>20</v>
      </c>
      <c r="C33" s="77" t="str">
        <f>DataSiswa!B27</f>
        <v>9981704177</v>
      </c>
      <c r="D33" s="78" t="str">
        <f>DataSiswa!C27</f>
        <v>Naura Cantika</v>
      </c>
      <c r="E33" s="242">
        <v>86</v>
      </c>
      <c r="F33" s="79">
        <v>84</v>
      </c>
      <c r="G33" s="79" t="s">
        <v>24</v>
      </c>
      <c r="H33" s="227">
        <f t="shared" si="0"/>
        <v>3.44</v>
      </c>
      <c r="I33" s="227">
        <f t="shared" si="1"/>
        <v>3.36</v>
      </c>
      <c r="J33" s="429" t="s">
        <v>598</v>
      </c>
      <c r="K33" s="430" t="s">
        <v>601</v>
      </c>
      <c r="L33" s="433" t="s">
        <v>382</v>
      </c>
      <c r="M33" s="85"/>
    </row>
    <row r="34" spans="2:13" ht="50.1" customHeight="1">
      <c r="B34" s="76">
        <v>21</v>
      </c>
      <c r="C34" s="77" t="str">
        <f>DataSiswa!B28</f>
        <v>9980810523</v>
      </c>
      <c r="D34" s="78" t="str">
        <f>DataSiswa!C28</f>
        <v>Nurul Putri Salsabila</v>
      </c>
      <c r="E34" s="242">
        <v>86</v>
      </c>
      <c r="F34" s="79">
        <v>83</v>
      </c>
      <c r="G34" s="79" t="s">
        <v>24</v>
      </c>
      <c r="H34" s="227">
        <f t="shared" si="0"/>
        <v>3.44</v>
      </c>
      <c r="I34" s="227">
        <f t="shared" si="1"/>
        <v>3.32</v>
      </c>
      <c r="J34" s="429" t="s">
        <v>598</v>
      </c>
      <c r="K34" s="430" t="s">
        <v>601</v>
      </c>
      <c r="L34" s="433" t="s">
        <v>382</v>
      </c>
      <c r="M34" s="85"/>
    </row>
    <row r="35" spans="2:13" ht="50.1" customHeight="1">
      <c r="B35" s="76">
        <v>22</v>
      </c>
      <c r="C35" s="77" t="str">
        <f>DataSiswa!B29</f>
        <v>9998982066</v>
      </c>
      <c r="D35" s="78" t="str">
        <f>DataSiswa!C29</f>
        <v>Rafi Fikriya Riza</v>
      </c>
      <c r="E35" s="242">
        <v>87</v>
      </c>
      <c r="F35" s="79">
        <v>85</v>
      </c>
      <c r="G35" s="79" t="s">
        <v>24</v>
      </c>
      <c r="H35" s="227">
        <f t="shared" si="0"/>
        <v>3.48</v>
      </c>
      <c r="I35" s="227">
        <f t="shared" si="1"/>
        <v>3.4</v>
      </c>
      <c r="J35" s="429" t="s">
        <v>598</v>
      </c>
      <c r="K35" s="430" t="s">
        <v>601</v>
      </c>
      <c r="L35" s="433" t="s">
        <v>382</v>
      </c>
      <c r="M35" s="85"/>
    </row>
    <row r="36" spans="2:13" ht="39.950000000000003" customHeight="1">
      <c r="B36" s="76">
        <v>23</v>
      </c>
      <c r="C36" s="77" t="str">
        <f>DataSiswa!B30</f>
        <v>9985967994</v>
      </c>
      <c r="D36" s="78" t="str">
        <f>DataSiswa!C30</f>
        <v>Restu Tria Bahri</v>
      </c>
      <c r="E36" s="242">
        <v>85</v>
      </c>
      <c r="F36" s="79">
        <v>82</v>
      </c>
      <c r="G36" s="79" t="s">
        <v>24</v>
      </c>
      <c r="H36" s="227">
        <f t="shared" si="0"/>
        <v>3.4</v>
      </c>
      <c r="I36" s="227">
        <f t="shared" si="1"/>
        <v>3.28</v>
      </c>
      <c r="J36" s="429" t="s">
        <v>600</v>
      </c>
      <c r="K36" s="430" t="s">
        <v>601</v>
      </c>
      <c r="L36" s="433" t="s">
        <v>382</v>
      </c>
      <c r="M36" s="85"/>
    </row>
    <row r="37" spans="2:13" ht="50.1" customHeight="1">
      <c r="B37" s="76">
        <v>24</v>
      </c>
      <c r="C37" s="77" t="str">
        <f>DataSiswa!B31</f>
        <v>9980799351</v>
      </c>
      <c r="D37" s="78" t="str">
        <f>DataSiswa!C31</f>
        <v>Rifka Esofita</v>
      </c>
      <c r="E37" s="242">
        <v>85</v>
      </c>
      <c r="F37" s="79">
        <v>84</v>
      </c>
      <c r="G37" s="79" t="s">
        <v>24</v>
      </c>
      <c r="H37" s="227">
        <f t="shared" si="0"/>
        <v>3.4</v>
      </c>
      <c r="I37" s="227">
        <f t="shared" si="1"/>
        <v>3.36</v>
      </c>
      <c r="J37" s="429" t="s">
        <v>598</v>
      </c>
      <c r="K37" s="430" t="s">
        <v>601</v>
      </c>
      <c r="L37" s="433" t="s">
        <v>382</v>
      </c>
      <c r="M37" s="85"/>
    </row>
    <row r="38" spans="2:13" ht="50.1" customHeight="1">
      <c r="B38" s="76">
        <v>25</v>
      </c>
      <c r="C38" s="77" t="str">
        <f>DataSiswa!B32</f>
        <v>9982095495</v>
      </c>
      <c r="D38" s="78" t="str">
        <f>DataSiswa!C32</f>
        <v>Rifo Ranofan</v>
      </c>
      <c r="E38" s="242">
        <v>89</v>
      </c>
      <c r="F38" s="79">
        <v>90</v>
      </c>
      <c r="G38" s="79" t="s">
        <v>334</v>
      </c>
      <c r="H38" s="227">
        <f t="shared" si="0"/>
        <v>3.56</v>
      </c>
      <c r="I38" s="227">
        <f t="shared" si="1"/>
        <v>3.6</v>
      </c>
      <c r="J38" s="429" t="s">
        <v>599</v>
      </c>
      <c r="K38" s="430" t="s">
        <v>601</v>
      </c>
      <c r="L38" s="433" t="s">
        <v>383</v>
      </c>
      <c r="M38" s="85"/>
    </row>
    <row r="39" spans="2:13" ht="50.1" customHeight="1">
      <c r="B39" s="76">
        <v>26</v>
      </c>
      <c r="C39" s="77" t="str">
        <f>DataSiswa!B33</f>
        <v>9985858026</v>
      </c>
      <c r="D39" s="78" t="str">
        <f>DataSiswa!C33</f>
        <v>Stephany Widyanti</v>
      </c>
      <c r="E39" s="242">
        <v>88</v>
      </c>
      <c r="F39" s="79">
        <v>84</v>
      </c>
      <c r="G39" s="79" t="s">
        <v>24</v>
      </c>
      <c r="H39" s="227">
        <f t="shared" si="0"/>
        <v>3.52</v>
      </c>
      <c r="I39" s="227">
        <f t="shared" si="1"/>
        <v>3.36</v>
      </c>
      <c r="J39" s="420" t="s">
        <v>598</v>
      </c>
      <c r="K39" s="431" t="s">
        <v>601</v>
      </c>
      <c r="L39" s="426" t="s">
        <v>382</v>
      </c>
      <c r="M39" s="85"/>
    </row>
    <row r="40" spans="2:13" ht="50.1" customHeight="1">
      <c r="B40" s="76">
        <v>27</v>
      </c>
      <c r="C40" s="77" t="str">
        <f>DataSiswa!B34</f>
        <v>9980818512</v>
      </c>
      <c r="D40" s="78" t="str">
        <f>DataSiswa!C34</f>
        <v>Tiara Yulianti</v>
      </c>
      <c r="E40" s="242">
        <v>87</v>
      </c>
      <c r="F40" s="79">
        <v>85</v>
      </c>
      <c r="G40" s="79" t="s">
        <v>24</v>
      </c>
      <c r="H40" s="227">
        <f t="shared" si="0"/>
        <v>3.48</v>
      </c>
      <c r="I40" s="227">
        <f t="shared" si="1"/>
        <v>3.4</v>
      </c>
      <c r="J40" s="420" t="s">
        <v>598</v>
      </c>
      <c r="K40" s="431" t="s">
        <v>601</v>
      </c>
      <c r="L40" s="426" t="s">
        <v>382</v>
      </c>
      <c r="M40" s="85"/>
    </row>
    <row r="41" spans="2:13" ht="50.1" customHeight="1">
      <c r="B41" s="76">
        <v>28</v>
      </c>
      <c r="C41" s="77" t="str">
        <f>DataSiswa!B35</f>
        <v>9982393794</v>
      </c>
      <c r="D41" s="78" t="str">
        <f>DataSiswa!C35</f>
        <v>Tika Wandira</v>
      </c>
      <c r="E41" s="242">
        <v>87</v>
      </c>
      <c r="F41" s="79">
        <v>84</v>
      </c>
      <c r="G41" s="79" t="s">
        <v>24</v>
      </c>
      <c r="H41" s="227">
        <f t="shared" si="0"/>
        <v>3.48</v>
      </c>
      <c r="I41" s="227">
        <f t="shared" si="1"/>
        <v>3.36</v>
      </c>
      <c r="J41" s="420" t="s">
        <v>598</v>
      </c>
      <c r="K41" s="431" t="s">
        <v>601</v>
      </c>
      <c r="L41" s="426" t="s">
        <v>382</v>
      </c>
      <c r="M41" s="85"/>
    </row>
    <row r="42" spans="2:13" ht="50.1" customHeight="1">
      <c r="B42" s="76">
        <v>29</v>
      </c>
      <c r="C42" s="77" t="str">
        <f>DataSiswa!B36</f>
        <v>9980818720</v>
      </c>
      <c r="D42" s="78" t="str">
        <f>DataSiswa!C36</f>
        <v>Ulfa Febriyani</v>
      </c>
      <c r="E42" s="242">
        <v>88</v>
      </c>
      <c r="F42" s="79">
        <v>85</v>
      </c>
      <c r="G42" s="79" t="s">
        <v>24</v>
      </c>
      <c r="H42" s="227">
        <f t="shared" si="0"/>
        <v>3.52</v>
      </c>
      <c r="I42" s="227">
        <f t="shared" si="1"/>
        <v>3.4</v>
      </c>
      <c r="J42" s="420" t="s">
        <v>599</v>
      </c>
      <c r="K42" s="431" t="s">
        <v>601</v>
      </c>
      <c r="L42" s="426" t="s">
        <v>382</v>
      </c>
      <c r="M42" s="85"/>
    </row>
    <row r="43" spans="2:13" ht="50.1" customHeight="1">
      <c r="B43" s="76">
        <v>30</v>
      </c>
      <c r="C43" s="77" t="str">
        <f>DataSiswa!B37</f>
        <v>9990756408</v>
      </c>
      <c r="D43" s="78" t="str">
        <f>DataSiswa!C37</f>
        <v>Valdy Filando Sardi</v>
      </c>
      <c r="E43" s="242">
        <v>84</v>
      </c>
      <c r="F43" s="79">
        <v>84</v>
      </c>
      <c r="G43" s="79" t="s">
        <v>24</v>
      </c>
      <c r="H43" s="227">
        <f t="shared" si="0"/>
        <v>3.36</v>
      </c>
      <c r="I43" s="227">
        <f t="shared" si="1"/>
        <v>3.36</v>
      </c>
      <c r="J43" s="420" t="s">
        <v>598</v>
      </c>
      <c r="K43" s="431" t="s">
        <v>601</v>
      </c>
      <c r="L43" s="426" t="s">
        <v>382</v>
      </c>
      <c r="M43" s="85"/>
    </row>
    <row r="44" spans="2:13" ht="50.1" customHeight="1">
      <c r="B44" s="76">
        <v>31</v>
      </c>
      <c r="C44" s="77" t="str">
        <f>DataSiswa!B38</f>
        <v>9980816670</v>
      </c>
      <c r="D44" s="78" t="str">
        <f>DataSiswa!C38</f>
        <v>Vonny Maitaveri</v>
      </c>
      <c r="E44" s="242">
        <v>87</v>
      </c>
      <c r="F44" s="79">
        <v>83</v>
      </c>
      <c r="G44" s="79" t="s">
        <v>24</v>
      </c>
      <c r="H44" s="227">
        <f t="shared" si="0"/>
        <v>3.48</v>
      </c>
      <c r="I44" s="227">
        <f t="shared" si="1"/>
        <v>3.32</v>
      </c>
      <c r="J44" s="420" t="s">
        <v>598</v>
      </c>
      <c r="K44" s="431" t="s">
        <v>601</v>
      </c>
      <c r="L44" s="426" t="s">
        <v>382</v>
      </c>
      <c r="M44" s="85"/>
    </row>
    <row r="45" spans="2:13" ht="50.1" customHeight="1">
      <c r="B45" s="76">
        <v>32</v>
      </c>
      <c r="C45" s="77" t="str">
        <f>DataSiswa!B39</f>
        <v>9982889268</v>
      </c>
      <c r="D45" s="78" t="str">
        <f>DataSiswa!C39</f>
        <v>Wahyu Yolanda</v>
      </c>
      <c r="E45" s="242">
        <v>84</v>
      </c>
      <c r="F45" s="79">
        <v>85</v>
      </c>
      <c r="G45" s="79" t="s">
        <v>24</v>
      </c>
      <c r="H45" s="227">
        <f t="shared" si="0"/>
        <v>3.36</v>
      </c>
      <c r="I45" s="227">
        <f t="shared" si="1"/>
        <v>3.4</v>
      </c>
      <c r="J45" s="420" t="s">
        <v>598</v>
      </c>
      <c r="K45" s="431" t="s">
        <v>601</v>
      </c>
      <c r="L45" s="426" t="s">
        <v>385</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B1:M54"/>
  <sheetViews>
    <sheetView showGridLines="0" topLeftCell="A9" workbookViewId="0">
      <selection activeCell="B14" sqref="B14:B53"/>
    </sheetView>
  </sheetViews>
  <sheetFormatPr defaultRowHeight="15"/>
  <cols>
    <col min="1" max="1" width="9.140625" style="61"/>
    <col min="2" max="2" width="7.4257812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0" width="45.7109375" style="61" customWidth="1"/>
    <col min="11" max="11" width="69.570312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DataGuru!C25</f>
        <v>Bahasa Inggris</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DataGuru!D25</f>
        <v>Darmina, S.Pd</v>
      </c>
      <c r="F9" s="566">
        <f>DataGuru!E25</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39.950000000000003" customHeight="1">
      <c r="B14" s="76">
        <v>1</v>
      </c>
      <c r="C14" s="77" t="str">
        <f>DataSiswa!B8</f>
        <v>9986980442</v>
      </c>
      <c r="D14" s="78" t="str">
        <f>DataSiswa!C8</f>
        <v>Aditya Taufik Sastra</v>
      </c>
      <c r="E14" s="242">
        <v>86</v>
      </c>
      <c r="F14" s="79">
        <v>84</v>
      </c>
      <c r="G14" s="80" t="s">
        <v>24</v>
      </c>
      <c r="H14" s="227">
        <f>(E14/100)*4</f>
        <v>3.44</v>
      </c>
      <c r="I14" s="227">
        <f>(F14/100)*4</f>
        <v>3.36</v>
      </c>
      <c r="J14" s="93" t="s">
        <v>572</v>
      </c>
      <c r="K14" s="232" t="s">
        <v>577</v>
      </c>
      <c r="L14" s="233" t="s">
        <v>382</v>
      </c>
      <c r="M14" s="81"/>
    </row>
    <row r="15" spans="2:13" ht="39.950000000000003" customHeight="1">
      <c r="B15" s="76">
        <v>2</v>
      </c>
      <c r="C15" s="77" t="str">
        <f>DataSiswa!B9</f>
        <v>9982907972</v>
      </c>
      <c r="D15" s="78" t="str">
        <f>DataSiswa!C9</f>
        <v>Angger Ghufron Pangestu</v>
      </c>
      <c r="E15" s="242">
        <v>87</v>
      </c>
      <c r="F15" s="79">
        <v>85</v>
      </c>
      <c r="G15" s="80" t="s">
        <v>24</v>
      </c>
      <c r="H15" s="227">
        <f t="shared" ref="H15:H53" si="0">(E15/100)*4</f>
        <v>3.48</v>
      </c>
      <c r="I15" s="227">
        <f t="shared" ref="I15:I53" si="1">(F15/100)*4</f>
        <v>3.4</v>
      </c>
      <c r="J15" s="93" t="s">
        <v>572</v>
      </c>
      <c r="K15" s="232" t="s">
        <v>577</v>
      </c>
      <c r="L15" s="233" t="s">
        <v>382</v>
      </c>
      <c r="M15" s="82"/>
    </row>
    <row r="16" spans="2:13" ht="39.950000000000003" customHeight="1">
      <c r="B16" s="76">
        <v>3</v>
      </c>
      <c r="C16" s="77" t="str">
        <f>DataSiswa!B10</f>
        <v>9983601594</v>
      </c>
      <c r="D16" s="78" t="str">
        <f>DataSiswa!C10</f>
        <v>Anjellia Novia Safitri</v>
      </c>
      <c r="E16" s="242">
        <v>84</v>
      </c>
      <c r="F16" s="79">
        <v>84</v>
      </c>
      <c r="G16" s="80" t="s">
        <v>24</v>
      </c>
      <c r="H16" s="227">
        <f t="shared" si="0"/>
        <v>3.36</v>
      </c>
      <c r="I16" s="227">
        <f t="shared" si="1"/>
        <v>3.36</v>
      </c>
      <c r="J16" s="93" t="s">
        <v>572</v>
      </c>
      <c r="K16" s="232" t="s">
        <v>577</v>
      </c>
      <c r="L16" s="233" t="s">
        <v>382</v>
      </c>
      <c r="M16" s="82"/>
    </row>
    <row r="17" spans="2:13" ht="39.950000000000003" customHeight="1">
      <c r="B17" s="76">
        <v>4</v>
      </c>
      <c r="C17" s="77" t="str">
        <f>DataSiswa!B11</f>
        <v>9989091797</v>
      </c>
      <c r="D17" s="78" t="str">
        <f>DataSiswa!C11</f>
        <v>Azis Fahrozi</v>
      </c>
      <c r="E17" s="242">
        <v>85</v>
      </c>
      <c r="F17" s="79">
        <v>84</v>
      </c>
      <c r="G17" s="80" t="s">
        <v>24</v>
      </c>
      <c r="H17" s="227">
        <f t="shared" si="0"/>
        <v>3.4</v>
      </c>
      <c r="I17" s="227">
        <f t="shared" si="1"/>
        <v>3.36</v>
      </c>
      <c r="J17" s="93" t="s">
        <v>573</v>
      </c>
      <c r="K17" s="232" t="s">
        <v>577</v>
      </c>
      <c r="L17" s="233" t="s">
        <v>382</v>
      </c>
      <c r="M17" s="82"/>
    </row>
    <row r="18" spans="2:13" ht="39.950000000000003" customHeight="1">
      <c r="B18" s="76">
        <v>5</v>
      </c>
      <c r="C18" s="77" t="str">
        <f>DataSiswa!B12</f>
        <v>9989983501</v>
      </c>
      <c r="D18" s="78" t="str">
        <f>DataSiswa!C12</f>
        <v>Berliana Monica</v>
      </c>
      <c r="E18" s="242">
        <v>87</v>
      </c>
      <c r="F18" s="79">
        <v>84</v>
      </c>
      <c r="G18" s="80" t="s">
        <v>24</v>
      </c>
      <c r="H18" s="227">
        <f t="shared" si="0"/>
        <v>3.48</v>
      </c>
      <c r="I18" s="227">
        <f t="shared" si="1"/>
        <v>3.36</v>
      </c>
      <c r="J18" s="93" t="s">
        <v>572</v>
      </c>
      <c r="K18" s="232" t="s">
        <v>577</v>
      </c>
      <c r="L18" s="233" t="s">
        <v>382</v>
      </c>
      <c r="M18" s="82"/>
    </row>
    <row r="19" spans="2:13" ht="39.950000000000003" customHeight="1">
      <c r="B19" s="76">
        <v>6</v>
      </c>
      <c r="C19" s="77" t="str">
        <f>DataSiswa!B13</f>
        <v>9970817548</v>
      </c>
      <c r="D19" s="78" t="str">
        <f>DataSiswa!C13</f>
        <v>Defri Nofriadi</v>
      </c>
      <c r="E19" s="242">
        <v>85</v>
      </c>
      <c r="F19" s="79">
        <v>87</v>
      </c>
      <c r="G19" s="80" t="s">
        <v>24</v>
      </c>
      <c r="H19" s="227">
        <f t="shared" si="0"/>
        <v>3.4</v>
      </c>
      <c r="I19" s="227">
        <f t="shared" si="1"/>
        <v>3.48</v>
      </c>
      <c r="J19" s="93" t="s">
        <v>572</v>
      </c>
      <c r="K19" s="232" t="s">
        <v>577</v>
      </c>
      <c r="L19" s="233" t="s">
        <v>382</v>
      </c>
      <c r="M19" s="82"/>
    </row>
    <row r="20" spans="2:13" ht="39.950000000000003" customHeight="1">
      <c r="B20" s="76">
        <v>7</v>
      </c>
      <c r="C20" s="77" t="str">
        <f>DataSiswa!B14</f>
        <v>9980817555</v>
      </c>
      <c r="D20" s="78" t="str">
        <f>DataSiswa!C14</f>
        <v>Dina Mardana Dulas</v>
      </c>
      <c r="E20" s="242">
        <v>86</v>
      </c>
      <c r="F20" s="79">
        <v>84</v>
      </c>
      <c r="G20" s="80" t="s">
        <v>24</v>
      </c>
      <c r="H20" s="227">
        <f t="shared" si="0"/>
        <v>3.44</v>
      </c>
      <c r="I20" s="227">
        <f t="shared" si="1"/>
        <v>3.36</v>
      </c>
      <c r="J20" s="93" t="s">
        <v>573</v>
      </c>
      <c r="K20" s="232" t="s">
        <v>577</v>
      </c>
      <c r="L20" s="233" t="s">
        <v>382</v>
      </c>
      <c r="M20" s="82"/>
    </row>
    <row r="21" spans="2:13" ht="39.950000000000003" customHeight="1">
      <c r="B21" s="76">
        <v>8</v>
      </c>
      <c r="C21" s="77" t="str">
        <f>DataSiswa!B15</f>
        <v>9980817812</v>
      </c>
      <c r="D21" s="78" t="str">
        <f>DataSiswa!C15</f>
        <v>Famella Putriadi</v>
      </c>
      <c r="E21" s="242">
        <v>85</v>
      </c>
      <c r="F21" s="79">
        <v>87</v>
      </c>
      <c r="G21" s="80" t="s">
        <v>24</v>
      </c>
      <c r="H21" s="227">
        <f t="shared" si="0"/>
        <v>3.4</v>
      </c>
      <c r="I21" s="227">
        <f t="shared" si="1"/>
        <v>3.48</v>
      </c>
      <c r="J21" s="93" t="s">
        <v>572</v>
      </c>
      <c r="K21" s="232" t="s">
        <v>577</v>
      </c>
      <c r="L21" s="233" t="s">
        <v>382</v>
      </c>
      <c r="M21" s="82"/>
    </row>
    <row r="22" spans="2:13" ht="39.950000000000003" customHeight="1">
      <c r="B22" s="76">
        <v>9</v>
      </c>
      <c r="C22" s="77" t="str">
        <f>DataSiswa!B16</f>
        <v>9986349049</v>
      </c>
      <c r="D22" s="78" t="str">
        <f>DataSiswa!C16</f>
        <v>Febrawati Fajlynd</v>
      </c>
      <c r="E22" s="242">
        <v>88</v>
      </c>
      <c r="F22" s="79">
        <v>85</v>
      </c>
      <c r="G22" s="80" t="s">
        <v>24</v>
      </c>
      <c r="H22" s="227">
        <f t="shared" si="0"/>
        <v>3.52</v>
      </c>
      <c r="I22" s="227">
        <f t="shared" si="1"/>
        <v>3.4</v>
      </c>
      <c r="J22" s="93" t="s">
        <v>574</v>
      </c>
      <c r="K22" s="232" t="s">
        <v>577</v>
      </c>
      <c r="L22" s="233" t="s">
        <v>382</v>
      </c>
      <c r="M22" s="82"/>
    </row>
    <row r="23" spans="2:13" ht="39.950000000000003" customHeight="1">
      <c r="B23" s="76">
        <v>10</v>
      </c>
      <c r="C23" s="77" t="str">
        <f>DataSiswa!B17</f>
        <v>9980673410</v>
      </c>
      <c r="D23" s="78" t="str">
        <f>DataSiswa!C17</f>
        <v>Fierro Perdana Ibrahim</v>
      </c>
      <c r="E23" s="242">
        <v>86</v>
      </c>
      <c r="F23" s="79">
        <v>84</v>
      </c>
      <c r="G23" s="80" t="s">
        <v>24</v>
      </c>
      <c r="H23" s="227">
        <f t="shared" si="0"/>
        <v>3.44</v>
      </c>
      <c r="I23" s="227">
        <f t="shared" si="1"/>
        <v>3.36</v>
      </c>
      <c r="J23" s="93" t="s">
        <v>575</v>
      </c>
      <c r="K23" s="232" t="s">
        <v>577</v>
      </c>
      <c r="L23" s="233" t="s">
        <v>382</v>
      </c>
      <c r="M23" s="82"/>
    </row>
    <row r="24" spans="2:13" ht="39.950000000000003" customHeight="1">
      <c r="B24" s="76">
        <v>11</v>
      </c>
      <c r="C24" s="77" t="str">
        <f>DataSiswa!B18</f>
        <v>9980817833</v>
      </c>
      <c r="D24" s="78" t="str">
        <f>DataSiswa!C18</f>
        <v>Jihan Salsabilla</v>
      </c>
      <c r="E24" s="242">
        <v>85</v>
      </c>
      <c r="F24" s="79">
        <v>85</v>
      </c>
      <c r="G24" s="80" t="s">
        <v>24</v>
      </c>
      <c r="H24" s="227">
        <f t="shared" si="0"/>
        <v>3.4</v>
      </c>
      <c r="I24" s="227">
        <f t="shared" si="1"/>
        <v>3.4</v>
      </c>
      <c r="J24" s="93" t="s">
        <v>572</v>
      </c>
      <c r="K24" s="232" t="s">
        <v>578</v>
      </c>
      <c r="L24" s="233" t="s">
        <v>382</v>
      </c>
      <c r="M24" s="82"/>
    </row>
    <row r="25" spans="2:13" ht="39.950000000000003" customHeight="1">
      <c r="B25" s="76">
        <v>12</v>
      </c>
      <c r="C25" s="77" t="str">
        <f>DataSiswa!B19</f>
        <v>9980065874</v>
      </c>
      <c r="D25" s="78" t="str">
        <f>DataSiswa!C19</f>
        <v>Karina Safira Rannas</v>
      </c>
      <c r="E25" s="242">
        <v>88</v>
      </c>
      <c r="F25" s="79">
        <v>85</v>
      </c>
      <c r="G25" s="80" t="s">
        <v>24</v>
      </c>
      <c r="H25" s="227">
        <f t="shared" si="0"/>
        <v>3.52</v>
      </c>
      <c r="I25" s="227">
        <f t="shared" si="1"/>
        <v>3.4</v>
      </c>
      <c r="J25" s="93" t="s">
        <v>572</v>
      </c>
      <c r="K25" s="232" t="s">
        <v>577</v>
      </c>
      <c r="L25" s="233" t="s">
        <v>382</v>
      </c>
      <c r="M25" s="82"/>
    </row>
    <row r="26" spans="2:13" ht="39.950000000000003" customHeight="1">
      <c r="B26" s="76">
        <v>13</v>
      </c>
      <c r="C26" s="77" t="str">
        <f>DataSiswa!B20</f>
        <v>9970816998</v>
      </c>
      <c r="D26" s="78" t="str">
        <f>DataSiswa!C20</f>
        <v>Loura Oktaviola</v>
      </c>
      <c r="E26" s="242">
        <v>87</v>
      </c>
      <c r="F26" s="79">
        <v>85</v>
      </c>
      <c r="G26" s="80" t="s">
        <v>24</v>
      </c>
      <c r="H26" s="227">
        <f t="shared" si="0"/>
        <v>3.48</v>
      </c>
      <c r="I26" s="227">
        <f t="shared" si="1"/>
        <v>3.4</v>
      </c>
      <c r="J26" s="93" t="s">
        <v>572</v>
      </c>
      <c r="K26" s="232" t="s">
        <v>577</v>
      </c>
      <c r="L26" s="234" t="s">
        <v>382</v>
      </c>
      <c r="M26" s="84"/>
    </row>
    <row r="27" spans="2:13" ht="39.950000000000003" customHeight="1">
      <c r="B27" s="76">
        <v>14</v>
      </c>
      <c r="C27" s="268" t="str">
        <f>DataSiswa!B21</f>
        <v>9982095456</v>
      </c>
      <c r="D27" s="269" t="str">
        <f>DataSiswa!C21</f>
        <v>Lauren Dwina Arini</v>
      </c>
      <c r="E27" s="419">
        <v>87</v>
      </c>
      <c r="F27" s="239">
        <v>85</v>
      </c>
      <c r="G27" s="270" t="s">
        <v>24</v>
      </c>
      <c r="H27" s="227">
        <f t="shared" si="0"/>
        <v>3.48</v>
      </c>
      <c r="I27" s="227">
        <f t="shared" si="1"/>
        <v>3.4</v>
      </c>
      <c r="J27" s="93" t="s">
        <v>572</v>
      </c>
      <c r="K27" s="232" t="s">
        <v>577</v>
      </c>
      <c r="L27" s="234" t="s">
        <v>382</v>
      </c>
      <c r="M27" s="85"/>
    </row>
    <row r="28" spans="2:13" ht="39.950000000000003" customHeight="1">
      <c r="B28" s="76">
        <v>15</v>
      </c>
      <c r="C28" s="77" t="str">
        <f>DataSiswa!B22</f>
        <v>9980817839</v>
      </c>
      <c r="D28" s="78" t="str">
        <f>DataSiswa!C22</f>
        <v>Leoni Syagna Velia</v>
      </c>
      <c r="E28" s="242">
        <v>86</v>
      </c>
      <c r="F28" s="79">
        <v>90</v>
      </c>
      <c r="G28" s="79" t="s">
        <v>24</v>
      </c>
      <c r="H28" s="227">
        <f t="shared" si="0"/>
        <v>3.44</v>
      </c>
      <c r="I28" s="227">
        <f t="shared" si="1"/>
        <v>3.6</v>
      </c>
      <c r="J28" s="420" t="s">
        <v>572</v>
      </c>
      <c r="K28" s="235" t="s">
        <v>577</v>
      </c>
      <c r="L28" s="234" t="s">
        <v>382</v>
      </c>
      <c r="M28" s="85"/>
    </row>
    <row r="29" spans="2:13" ht="39.950000000000003" customHeight="1">
      <c r="B29" s="76">
        <v>16</v>
      </c>
      <c r="C29" s="77" t="str">
        <f>DataSiswa!B23</f>
        <v>9982885002</v>
      </c>
      <c r="D29" s="78" t="str">
        <f>DataSiswa!C23</f>
        <v>Mia Larisa Waskito</v>
      </c>
      <c r="E29" s="242">
        <v>88</v>
      </c>
      <c r="F29" s="79">
        <v>90</v>
      </c>
      <c r="G29" s="79" t="s">
        <v>24</v>
      </c>
      <c r="H29" s="227">
        <f t="shared" si="0"/>
        <v>3.52</v>
      </c>
      <c r="I29" s="227">
        <f t="shared" si="1"/>
        <v>3.6</v>
      </c>
      <c r="J29" s="420" t="s">
        <v>572</v>
      </c>
      <c r="K29" s="235" t="s">
        <v>577</v>
      </c>
      <c r="L29" s="234" t="s">
        <v>382</v>
      </c>
      <c r="M29" s="85"/>
    </row>
    <row r="30" spans="2:13" ht="39.950000000000003" customHeight="1">
      <c r="B30" s="76">
        <v>17</v>
      </c>
      <c r="C30" s="77" t="str">
        <f>DataSiswa!B24</f>
        <v>9983996707</v>
      </c>
      <c r="D30" s="78" t="str">
        <f>DataSiswa!C24</f>
        <v>Muhammad Fadel</v>
      </c>
      <c r="E30" s="242">
        <v>89</v>
      </c>
      <c r="F30" s="79">
        <v>87</v>
      </c>
      <c r="G30" s="79" t="s">
        <v>24</v>
      </c>
      <c r="H30" s="227">
        <f t="shared" si="0"/>
        <v>3.56</v>
      </c>
      <c r="I30" s="227">
        <f t="shared" si="1"/>
        <v>3.48</v>
      </c>
      <c r="J30" s="420" t="s">
        <v>574</v>
      </c>
      <c r="K30" s="235" t="s">
        <v>577</v>
      </c>
      <c r="L30" s="234" t="s">
        <v>382</v>
      </c>
      <c r="M30" s="85"/>
    </row>
    <row r="31" spans="2:13" ht="39.950000000000003" customHeight="1">
      <c r="B31" s="76">
        <v>18</v>
      </c>
      <c r="C31" s="77" t="str">
        <f>DataSiswa!B25</f>
        <v>9981328630</v>
      </c>
      <c r="D31" s="78" t="str">
        <f>DataSiswa!C25</f>
        <v>Muhammad Ilham Fajri</v>
      </c>
      <c r="E31" s="242">
        <v>86</v>
      </c>
      <c r="F31" s="79">
        <v>85</v>
      </c>
      <c r="G31" s="79" t="s">
        <v>24</v>
      </c>
      <c r="H31" s="227">
        <f t="shared" si="0"/>
        <v>3.44</v>
      </c>
      <c r="I31" s="227">
        <f t="shared" si="1"/>
        <v>3.4</v>
      </c>
      <c r="J31" s="420" t="s">
        <v>572</v>
      </c>
      <c r="K31" s="235" t="s">
        <v>577</v>
      </c>
      <c r="L31" s="234" t="s">
        <v>382</v>
      </c>
      <c r="M31" s="85"/>
    </row>
    <row r="32" spans="2:13" ht="39.950000000000003" customHeight="1">
      <c r="B32" s="76">
        <v>19</v>
      </c>
      <c r="C32" s="77" t="str">
        <f>DataSiswa!B26</f>
        <v>9980830799</v>
      </c>
      <c r="D32" s="78" t="str">
        <f>DataSiswa!C26</f>
        <v>Muhammad Irfan</v>
      </c>
      <c r="E32" s="242">
        <v>89</v>
      </c>
      <c r="F32" s="79">
        <v>90</v>
      </c>
      <c r="G32" s="79" t="s">
        <v>24</v>
      </c>
      <c r="H32" s="227">
        <f t="shared" si="0"/>
        <v>3.56</v>
      </c>
      <c r="I32" s="227">
        <f t="shared" si="1"/>
        <v>3.6</v>
      </c>
      <c r="J32" s="420" t="s">
        <v>574</v>
      </c>
      <c r="K32" s="235" t="s">
        <v>577</v>
      </c>
      <c r="L32" s="234" t="s">
        <v>571</v>
      </c>
      <c r="M32" s="85"/>
    </row>
    <row r="33" spans="2:13" ht="39.950000000000003" customHeight="1">
      <c r="B33" s="76">
        <v>20</v>
      </c>
      <c r="C33" s="77" t="str">
        <f>DataSiswa!B27</f>
        <v>9981704177</v>
      </c>
      <c r="D33" s="78" t="str">
        <f>DataSiswa!C27</f>
        <v>Naura Cantika</v>
      </c>
      <c r="E33" s="242">
        <v>86</v>
      </c>
      <c r="F33" s="79">
        <v>86</v>
      </c>
      <c r="G33" s="79" t="s">
        <v>24</v>
      </c>
      <c r="H33" s="227">
        <f t="shared" si="0"/>
        <v>3.44</v>
      </c>
      <c r="I33" s="227">
        <f t="shared" si="1"/>
        <v>3.44</v>
      </c>
      <c r="J33" s="420" t="s">
        <v>572</v>
      </c>
      <c r="K33" s="235" t="s">
        <v>577</v>
      </c>
      <c r="L33" s="234" t="s">
        <v>382</v>
      </c>
      <c r="M33" s="85"/>
    </row>
    <row r="34" spans="2:13" ht="39.950000000000003" customHeight="1">
      <c r="B34" s="76">
        <v>21</v>
      </c>
      <c r="C34" s="77" t="str">
        <f>DataSiswa!B28</f>
        <v>9980810523</v>
      </c>
      <c r="D34" s="78" t="str">
        <f>DataSiswa!C28</f>
        <v>Nurul Putri Salsabila</v>
      </c>
      <c r="E34" s="242">
        <v>83</v>
      </c>
      <c r="F34" s="79">
        <v>84</v>
      </c>
      <c r="G34" s="79" t="s">
        <v>24</v>
      </c>
      <c r="H34" s="227">
        <f t="shared" si="0"/>
        <v>3.32</v>
      </c>
      <c r="I34" s="227">
        <f t="shared" si="1"/>
        <v>3.36</v>
      </c>
      <c r="J34" s="420" t="s">
        <v>572</v>
      </c>
      <c r="K34" s="235" t="s">
        <v>577</v>
      </c>
      <c r="L34" s="234" t="s">
        <v>382</v>
      </c>
      <c r="M34" s="85"/>
    </row>
    <row r="35" spans="2:13" ht="39.950000000000003" customHeight="1">
      <c r="B35" s="76">
        <v>22</v>
      </c>
      <c r="C35" s="77" t="str">
        <f>DataSiswa!B29</f>
        <v>9998982066</v>
      </c>
      <c r="D35" s="78" t="str">
        <f>DataSiswa!C29</f>
        <v>Rafi Fikriya Riza</v>
      </c>
      <c r="E35" s="242">
        <v>86</v>
      </c>
      <c r="F35" s="79">
        <v>85</v>
      </c>
      <c r="G35" s="79" t="s">
        <v>24</v>
      </c>
      <c r="H35" s="227">
        <f t="shared" si="0"/>
        <v>3.44</v>
      </c>
      <c r="I35" s="227">
        <f t="shared" si="1"/>
        <v>3.4</v>
      </c>
      <c r="J35" s="420" t="s">
        <v>572</v>
      </c>
      <c r="K35" s="235" t="s">
        <v>577</v>
      </c>
      <c r="L35" s="234" t="s">
        <v>382</v>
      </c>
      <c r="M35" s="85"/>
    </row>
    <row r="36" spans="2:13" ht="39.950000000000003" customHeight="1">
      <c r="B36" s="76">
        <v>23</v>
      </c>
      <c r="C36" s="77" t="str">
        <f>DataSiswa!B30</f>
        <v>9985967994</v>
      </c>
      <c r="D36" s="78" t="str">
        <f>DataSiswa!C30</f>
        <v>Restu Tria Bahri</v>
      </c>
      <c r="E36" s="242">
        <v>85</v>
      </c>
      <c r="F36" s="79">
        <v>84</v>
      </c>
      <c r="G36" s="79" t="s">
        <v>24</v>
      </c>
      <c r="H36" s="227">
        <f t="shared" si="0"/>
        <v>3.4</v>
      </c>
      <c r="I36" s="227">
        <f t="shared" si="1"/>
        <v>3.36</v>
      </c>
      <c r="J36" s="420" t="s">
        <v>575</v>
      </c>
      <c r="K36" s="235" t="s">
        <v>577</v>
      </c>
      <c r="L36" s="234" t="s">
        <v>382</v>
      </c>
      <c r="M36" s="85"/>
    </row>
    <row r="37" spans="2:13" ht="39.950000000000003" customHeight="1">
      <c r="B37" s="76">
        <v>24</v>
      </c>
      <c r="C37" s="77" t="str">
        <f>DataSiswa!B31</f>
        <v>9980799351</v>
      </c>
      <c r="D37" s="78" t="str">
        <f>DataSiswa!C31</f>
        <v>Rifka Esofita</v>
      </c>
      <c r="E37" s="242">
        <v>83</v>
      </c>
      <c r="F37" s="79">
        <v>86</v>
      </c>
      <c r="G37" s="79" t="s">
        <v>24</v>
      </c>
      <c r="H37" s="227">
        <f t="shared" si="0"/>
        <v>3.32</v>
      </c>
      <c r="I37" s="227">
        <f t="shared" si="1"/>
        <v>3.44</v>
      </c>
      <c r="J37" s="420" t="s">
        <v>576</v>
      </c>
      <c r="K37" s="235" t="s">
        <v>577</v>
      </c>
      <c r="L37" s="234" t="s">
        <v>382</v>
      </c>
      <c r="M37" s="85"/>
    </row>
    <row r="38" spans="2:13" ht="39.950000000000003" customHeight="1">
      <c r="B38" s="76">
        <v>25</v>
      </c>
      <c r="C38" s="77" t="str">
        <f>DataSiswa!B32</f>
        <v>9982095495</v>
      </c>
      <c r="D38" s="78" t="str">
        <f>DataSiswa!C32</f>
        <v>Rifo Ranofan</v>
      </c>
      <c r="E38" s="242">
        <v>83</v>
      </c>
      <c r="F38" s="79">
        <v>90</v>
      </c>
      <c r="G38" s="79" t="s">
        <v>24</v>
      </c>
      <c r="H38" s="227">
        <f t="shared" si="0"/>
        <v>3.32</v>
      </c>
      <c r="I38" s="227">
        <f t="shared" si="1"/>
        <v>3.6</v>
      </c>
      <c r="J38" s="420" t="s">
        <v>572</v>
      </c>
      <c r="K38" s="235" t="s">
        <v>577</v>
      </c>
      <c r="L38" s="234" t="s">
        <v>382</v>
      </c>
      <c r="M38" s="85"/>
    </row>
    <row r="39" spans="2:13" ht="39.950000000000003" customHeight="1">
      <c r="B39" s="76">
        <v>26</v>
      </c>
      <c r="C39" s="77" t="str">
        <f>DataSiswa!B33</f>
        <v>9985858026</v>
      </c>
      <c r="D39" s="78" t="str">
        <f>DataSiswa!C33</f>
        <v>Stephany Widyanti</v>
      </c>
      <c r="E39" s="242">
        <v>83</v>
      </c>
      <c r="F39" s="79">
        <v>90</v>
      </c>
      <c r="G39" s="79" t="s">
        <v>24</v>
      </c>
      <c r="H39" s="227">
        <f t="shared" si="0"/>
        <v>3.32</v>
      </c>
      <c r="I39" s="227">
        <f t="shared" si="1"/>
        <v>3.6</v>
      </c>
      <c r="J39" s="420" t="s">
        <v>572</v>
      </c>
      <c r="K39" s="421" t="s">
        <v>577</v>
      </c>
      <c r="L39" s="229" t="s">
        <v>382</v>
      </c>
      <c r="M39" s="85"/>
    </row>
    <row r="40" spans="2:13" ht="39.950000000000003" customHeight="1">
      <c r="B40" s="76">
        <v>27</v>
      </c>
      <c r="C40" s="77" t="str">
        <f>DataSiswa!B34</f>
        <v>9980818512</v>
      </c>
      <c r="D40" s="78" t="str">
        <f>DataSiswa!C34</f>
        <v>Tiara Yulianti</v>
      </c>
      <c r="E40" s="242">
        <v>87</v>
      </c>
      <c r="F40" s="79">
        <v>85</v>
      </c>
      <c r="G40" s="79" t="s">
        <v>24</v>
      </c>
      <c r="H40" s="227">
        <f t="shared" si="0"/>
        <v>3.48</v>
      </c>
      <c r="I40" s="227">
        <f t="shared" si="1"/>
        <v>3.4</v>
      </c>
      <c r="J40" s="420" t="s">
        <v>572</v>
      </c>
      <c r="K40" s="421" t="s">
        <v>577</v>
      </c>
      <c r="L40" s="229" t="s">
        <v>382</v>
      </c>
      <c r="M40" s="85"/>
    </row>
    <row r="41" spans="2:13" ht="39.950000000000003" customHeight="1">
      <c r="B41" s="76">
        <v>28</v>
      </c>
      <c r="C41" s="77" t="str">
        <f>DataSiswa!B35</f>
        <v>9982393794</v>
      </c>
      <c r="D41" s="78" t="str">
        <f>DataSiswa!C35</f>
        <v>Tika Wandira</v>
      </c>
      <c r="E41" s="242">
        <v>88</v>
      </c>
      <c r="F41" s="79">
        <v>87</v>
      </c>
      <c r="G41" s="79" t="s">
        <v>24</v>
      </c>
      <c r="H41" s="227">
        <f t="shared" si="0"/>
        <v>3.52</v>
      </c>
      <c r="I41" s="227">
        <f t="shared" si="1"/>
        <v>3.48</v>
      </c>
      <c r="J41" s="420" t="s">
        <v>573</v>
      </c>
      <c r="K41" s="421" t="s">
        <v>577</v>
      </c>
      <c r="L41" s="229" t="s">
        <v>382</v>
      </c>
      <c r="M41" s="85"/>
    </row>
    <row r="42" spans="2:13" ht="39.950000000000003" customHeight="1">
      <c r="B42" s="76">
        <v>29</v>
      </c>
      <c r="C42" s="77" t="str">
        <f>DataSiswa!B36</f>
        <v>9980818720</v>
      </c>
      <c r="D42" s="78" t="str">
        <f>DataSiswa!C36</f>
        <v>Ulfa Febriyani</v>
      </c>
      <c r="E42" s="242">
        <v>85</v>
      </c>
      <c r="F42" s="79">
        <v>84</v>
      </c>
      <c r="G42" s="79" t="s">
        <v>24</v>
      </c>
      <c r="H42" s="227">
        <f t="shared" si="0"/>
        <v>3.4</v>
      </c>
      <c r="I42" s="227">
        <f t="shared" si="1"/>
        <v>3.36</v>
      </c>
      <c r="J42" s="420" t="s">
        <v>572</v>
      </c>
      <c r="K42" s="421" t="s">
        <v>577</v>
      </c>
      <c r="L42" s="229" t="s">
        <v>382</v>
      </c>
      <c r="M42" s="85"/>
    </row>
    <row r="43" spans="2:13" ht="39.950000000000003" customHeight="1">
      <c r="B43" s="76">
        <v>30</v>
      </c>
      <c r="C43" s="77" t="str">
        <f>DataSiswa!B37</f>
        <v>9990756408</v>
      </c>
      <c r="D43" s="78" t="str">
        <f>DataSiswa!C37</f>
        <v>Valdy Filando Sardi</v>
      </c>
      <c r="E43" s="242">
        <v>86</v>
      </c>
      <c r="F43" s="79">
        <v>85</v>
      </c>
      <c r="G43" s="79" t="s">
        <v>24</v>
      </c>
      <c r="H43" s="227">
        <f t="shared" si="0"/>
        <v>3.44</v>
      </c>
      <c r="I43" s="227">
        <f t="shared" si="1"/>
        <v>3.4</v>
      </c>
      <c r="J43" s="420" t="s">
        <v>572</v>
      </c>
      <c r="K43" s="421" t="s">
        <v>577</v>
      </c>
      <c r="L43" s="229" t="s">
        <v>382</v>
      </c>
      <c r="M43" s="85"/>
    </row>
    <row r="44" spans="2:13" ht="39.950000000000003" customHeight="1">
      <c r="B44" s="76">
        <v>31</v>
      </c>
      <c r="C44" s="77" t="str">
        <f>DataSiswa!B38</f>
        <v>9980816670</v>
      </c>
      <c r="D44" s="78" t="str">
        <f>DataSiswa!C38</f>
        <v>Vonny Maitaveri</v>
      </c>
      <c r="E44" s="242">
        <v>83</v>
      </c>
      <c r="F44" s="79">
        <v>87</v>
      </c>
      <c r="G44" s="79" t="s">
        <v>24</v>
      </c>
      <c r="H44" s="227">
        <f t="shared" si="0"/>
        <v>3.32</v>
      </c>
      <c r="I44" s="227">
        <f t="shared" si="1"/>
        <v>3.48</v>
      </c>
      <c r="J44" s="420" t="s">
        <v>572</v>
      </c>
      <c r="K44" s="421" t="s">
        <v>577</v>
      </c>
      <c r="L44" s="229" t="s">
        <v>382</v>
      </c>
      <c r="M44" s="85"/>
    </row>
    <row r="45" spans="2:13" ht="39.950000000000003" customHeight="1">
      <c r="B45" s="76">
        <v>32</v>
      </c>
      <c r="C45" s="77" t="str">
        <f>DataSiswa!B39</f>
        <v>9982889268</v>
      </c>
      <c r="D45" s="78" t="str">
        <f>DataSiswa!C39</f>
        <v>Wahyu Yolanda</v>
      </c>
      <c r="E45" s="242">
        <v>86</v>
      </c>
      <c r="F45" s="79">
        <v>84</v>
      </c>
      <c r="G45" s="79" t="s">
        <v>24</v>
      </c>
      <c r="H45" s="227">
        <f t="shared" si="0"/>
        <v>3.44</v>
      </c>
      <c r="I45" s="227">
        <f t="shared" si="1"/>
        <v>3.36</v>
      </c>
      <c r="J45" s="420" t="s">
        <v>573</v>
      </c>
      <c r="K45" s="421" t="s">
        <v>577</v>
      </c>
      <c r="L45" s="229" t="s">
        <v>385</v>
      </c>
      <c r="M45" s="85"/>
    </row>
    <row r="46" spans="2:13" ht="39.950000000000003" customHeight="1">
      <c r="B46" s="76">
        <v>33</v>
      </c>
      <c r="C46" s="77">
        <f>DataSiswa!B40</f>
        <v>0</v>
      </c>
      <c r="D46" s="78">
        <f>DataSiswa!C40</f>
        <v>0</v>
      </c>
      <c r="E46" s="79"/>
      <c r="F46" s="79"/>
      <c r="G46" s="86"/>
      <c r="H46" s="227">
        <f t="shared" si="0"/>
        <v>0</v>
      </c>
      <c r="I46" s="227">
        <f t="shared" si="1"/>
        <v>0</v>
      </c>
      <c r="J46" s="94"/>
      <c r="K46" s="87"/>
      <c r="L46" s="83"/>
      <c r="M46" s="85"/>
    </row>
    <row r="47" spans="2:13" ht="39.950000000000003" customHeight="1">
      <c r="B47" s="76">
        <v>34</v>
      </c>
      <c r="C47" s="77">
        <f>DataSiswa!B41</f>
        <v>0</v>
      </c>
      <c r="D47" s="78">
        <f>DataSiswa!C41</f>
        <v>0</v>
      </c>
      <c r="E47" s="79"/>
      <c r="F47" s="79"/>
      <c r="G47" s="86"/>
      <c r="H47" s="227">
        <f t="shared" si="0"/>
        <v>0</v>
      </c>
      <c r="I47" s="227">
        <f t="shared" si="1"/>
        <v>0</v>
      </c>
      <c r="J47" s="94"/>
      <c r="K47" s="87"/>
      <c r="L47" s="83"/>
      <c r="M47" s="85"/>
    </row>
    <row r="48" spans="2:13" ht="39.950000000000003" customHeight="1">
      <c r="B48" s="76">
        <v>35</v>
      </c>
      <c r="C48" s="77">
        <f>DataSiswa!B42</f>
        <v>0</v>
      </c>
      <c r="D48" s="78">
        <f>DataSiswa!C42</f>
        <v>0</v>
      </c>
      <c r="E48" s="79"/>
      <c r="F48" s="79"/>
      <c r="G48" s="86"/>
      <c r="H48" s="227">
        <f t="shared" si="0"/>
        <v>0</v>
      </c>
      <c r="I48" s="227">
        <f t="shared" si="1"/>
        <v>0</v>
      </c>
      <c r="J48" s="94"/>
      <c r="K48" s="87"/>
      <c r="L48" s="83"/>
      <c r="M48" s="85"/>
    </row>
    <row r="49" spans="2:13" ht="39.950000000000003" customHeight="1">
      <c r="B49" s="76">
        <v>36</v>
      </c>
      <c r="C49" s="77">
        <f>DataSiswa!B43</f>
        <v>0</v>
      </c>
      <c r="D49" s="78">
        <f>DataSiswa!C43</f>
        <v>0</v>
      </c>
      <c r="E49" s="79"/>
      <c r="F49" s="79"/>
      <c r="G49" s="86"/>
      <c r="H49" s="227">
        <f t="shared" si="0"/>
        <v>0</v>
      </c>
      <c r="I49" s="227">
        <f t="shared" si="1"/>
        <v>0</v>
      </c>
      <c r="J49" s="94"/>
      <c r="K49" s="87"/>
      <c r="L49" s="83"/>
      <c r="M49" s="85"/>
    </row>
    <row r="50" spans="2:13" ht="39.950000000000003" customHeight="1">
      <c r="B50" s="76">
        <v>37</v>
      </c>
      <c r="C50" s="77">
        <f>DataSiswa!B44</f>
        <v>0</v>
      </c>
      <c r="D50" s="78">
        <f>DataSiswa!C44</f>
        <v>0</v>
      </c>
      <c r="E50" s="79"/>
      <c r="F50" s="79"/>
      <c r="G50" s="86"/>
      <c r="H50" s="227">
        <f t="shared" si="0"/>
        <v>0</v>
      </c>
      <c r="I50" s="227">
        <f t="shared" si="1"/>
        <v>0</v>
      </c>
      <c r="J50" s="94"/>
      <c r="K50" s="87"/>
      <c r="L50" s="83"/>
      <c r="M50" s="85"/>
    </row>
    <row r="51" spans="2:13" ht="39.950000000000003" customHeight="1">
      <c r="B51" s="76">
        <v>38</v>
      </c>
      <c r="C51" s="77">
        <f>DataSiswa!B45</f>
        <v>0</v>
      </c>
      <c r="D51" s="78">
        <f>DataSiswa!C45</f>
        <v>0</v>
      </c>
      <c r="E51" s="79"/>
      <c r="F51" s="79"/>
      <c r="G51" s="86"/>
      <c r="H51" s="227">
        <f t="shared" si="0"/>
        <v>0</v>
      </c>
      <c r="I51" s="227">
        <f t="shared" si="1"/>
        <v>0</v>
      </c>
      <c r="J51" s="94"/>
      <c r="K51" s="87"/>
      <c r="L51" s="83"/>
      <c r="M51" s="85"/>
    </row>
    <row r="52" spans="2:13" ht="39.950000000000003" customHeight="1">
      <c r="B52" s="76">
        <v>39</v>
      </c>
      <c r="C52" s="77">
        <f>DataSiswa!B46</f>
        <v>0</v>
      </c>
      <c r="D52" s="78">
        <f>DataSiswa!C46</f>
        <v>0</v>
      </c>
      <c r="E52" s="79"/>
      <c r="F52" s="79"/>
      <c r="G52" s="86"/>
      <c r="H52" s="227">
        <f t="shared" si="0"/>
        <v>0</v>
      </c>
      <c r="I52" s="227">
        <f t="shared" si="1"/>
        <v>0</v>
      </c>
      <c r="J52" s="94"/>
      <c r="K52" s="87"/>
      <c r="L52" s="83"/>
      <c r="M52" s="85"/>
    </row>
    <row r="53" spans="2:13" ht="39.950000000000003" customHeight="1" thickBot="1">
      <c r="B53" s="76">
        <v>40</v>
      </c>
      <c r="C53" s="103">
        <f>DataSiswa!B47</f>
        <v>0</v>
      </c>
      <c r="D53" s="104">
        <f>DataSiswa!C47</f>
        <v>0</v>
      </c>
      <c r="E53" s="89"/>
      <c r="F53" s="89"/>
      <c r="G53" s="90"/>
      <c r="H53" s="227">
        <f t="shared" si="0"/>
        <v>0</v>
      </c>
      <c r="I53" s="227">
        <f t="shared" si="1"/>
        <v>0</v>
      </c>
      <c r="J53" s="95"/>
      <c r="K53" s="91"/>
      <c r="L53" s="9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C000"/>
  </sheetPr>
  <dimension ref="B1:M54"/>
  <sheetViews>
    <sheetView topLeftCell="A43"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DataGuru!C26</f>
        <v>Seni Budaya</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DataGuru!D26</f>
        <v>Ismanilda, S.Pd</v>
      </c>
      <c r="F9" s="566">
        <f>DataGuru!E26</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50.1" customHeight="1">
      <c r="B14" s="76">
        <v>1</v>
      </c>
      <c r="C14" s="77" t="str">
        <f>DataSiswa!B8</f>
        <v>9986980442</v>
      </c>
      <c r="D14" s="78" t="str">
        <f>DataSiswa!C8</f>
        <v>Aditya Taufik Sastra</v>
      </c>
      <c r="E14" s="242">
        <v>86</v>
      </c>
      <c r="F14" s="79">
        <v>88</v>
      </c>
      <c r="G14" s="80" t="s">
        <v>24</v>
      </c>
      <c r="H14" s="227">
        <f>(E14/100)*4</f>
        <v>3.44</v>
      </c>
      <c r="I14" s="227">
        <f>(F14/100)*4</f>
        <v>3.52</v>
      </c>
      <c r="J14" s="93" t="s">
        <v>603</v>
      </c>
      <c r="K14" s="96" t="s">
        <v>609</v>
      </c>
      <c r="L14" s="238" t="s">
        <v>382</v>
      </c>
      <c r="M14" s="81"/>
    </row>
    <row r="15" spans="2:13" ht="50.1" customHeight="1">
      <c r="B15" s="76">
        <v>2</v>
      </c>
      <c r="C15" s="77" t="str">
        <f>DataSiswa!B9</f>
        <v>9982907972</v>
      </c>
      <c r="D15" s="78" t="str">
        <f>DataSiswa!C9</f>
        <v>Angger Ghufron Pangestu</v>
      </c>
      <c r="E15" s="242">
        <v>85</v>
      </c>
      <c r="F15" s="79">
        <v>85</v>
      </c>
      <c r="G15" s="80" t="s">
        <v>24</v>
      </c>
      <c r="H15" s="227">
        <f t="shared" ref="H15:H53" si="0">(E15/100)*4</f>
        <v>3.4</v>
      </c>
      <c r="I15" s="227">
        <f t="shared" ref="I15:I53" si="1">(F15/100)*4</f>
        <v>3.4</v>
      </c>
      <c r="J15" s="93" t="s">
        <v>603</v>
      </c>
      <c r="K15" s="96" t="s">
        <v>609</v>
      </c>
      <c r="L15" s="238" t="s">
        <v>382</v>
      </c>
      <c r="M15" s="82"/>
    </row>
    <row r="16" spans="2:13" ht="50.1" customHeight="1">
      <c r="B16" s="76">
        <v>3</v>
      </c>
      <c r="C16" s="77" t="str">
        <f>DataSiswa!B10</f>
        <v>9983601594</v>
      </c>
      <c r="D16" s="78" t="str">
        <f>DataSiswa!C10</f>
        <v>Anjellia Novia Safitri</v>
      </c>
      <c r="E16" s="242">
        <v>85</v>
      </c>
      <c r="F16" s="79">
        <v>86</v>
      </c>
      <c r="G16" s="80" t="s">
        <v>24</v>
      </c>
      <c r="H16" s="227">
        <f t="shared" si="0"/>
        <v>3.4</v>
      </c>
      <c r="I16" s="227">
        <f t="shared" si="1"/>
        <v>3.44</v>
      </c>
      <c r="J16" s="93" t="s">
        <v>603</v>
      </c>
      <c r="K16" s="96" t="s">
        <v>609</v>
      </c>
      <c r="L16" s="238" t="s">
        <v>382</v>
      </c>
      <c r="M16" s="82"/>
    </row>
    <row r="17" spans="2:13" ht="39.950000000000003" customHeight="1">
      <c r="B17" s="76">
        <v>4</v>
      </c>
      <c r="C17" s="77" t="str">
        <f>DataSiswa!B11</f>
        <v>9989091797</v>
      </c>
      <c r="D17" s="78" t="str">
        <f>DataSiswa!C11</f>
        <v>Azis Fahrozi</v>
      </c>
      <c r="E17" s="242">
        <v>82</v>
      </c>
      <c r="F17" s="79">
        <v>84</v>
      </c>
      <c r="G17" s="80" t="s">
        <v>24</v>
      </c>
      <c r="H17" s="227">
        <f t="shared" si="0"/>
        <v>3.28</v>
      </c>
      <c r="I17" s="227">
        <f t="shared" si="1"/>
        <v>3.36</v>
      </c>
      <c r="J17" s="93" t="s">
        <v>603</v>
      </c>
      <c r="K17" s="96" t="s">
        <v>609</v>
      </c>
      <c r="L17" s="238" t="s">
        <v>382</v>
      </c>
      <c r="M17" s="82"/>
    </row>
    <row r="18" spans="2:13" ht="39.950000000000003" customHeight="1">
      <c r="B18" s="76">
        <v>5</v>
      </c>
      <c r="C18" s="77" t="str">
        <f>DataSiswa!B12</f>
        <v>9989983501</v>
      </c>
      <c r="D18" s="78" t="str">
        <f>DataSiswa!C12</f>
        <v>Berliana Monica</v>
      </c>
      <c r="E18" s="242">
        <v>86</v>
      </c>
      <c r="F18" s="79">
        <v>86</v>
      </c>
      <c r="G18" s="80" t="s">
        <v>24</v>
      </c>
      <c r="H18" s="227">
        <f t="shared" si="0"/>
        <v>3.44</v>
      </c>
      <c r="I18" s="227">
        <f t="shared" si="1"/>
        <v>3.44</v>
      </c>
      <c r="J18" s="93" t="s">
        <v>603</v>
      </c>
      <c r="K18" s="96" t="s">
        <v>609</v>
      </c>
      <c r="L18" s="238" t="s">
        <v>382</v>
      </c>
      <c r="M18" s="82"/>
    </row>
    <row r="19" spans="2:13" ht="39.950000000000003" customHeight="1">
      <c r="B19" s="76">
        <v>6</v>
      </c>
      <c r="C19" s="77" t="str">
        <f>DataSiswa!B13</f>
        <v>9970817548</v>
      </c>
      <c r="D19" s="78" t="str">
        <f>DataSiswa!C13</f>
        <v>Defri Nofriadi</v>
      </c>
      <c r="E19" s="242">
        <v>86</v>
      </c>
      <c r="F19" s="79">
        <v>84</v>
      </c>
      <c r="G19" s="80" t="s">
        <v>24</v>
      </c>
      <c r="H19" s="227">
        <f t="shared" si="0"/>
        <v>3.44</v>
      </c>
      <c r="I19" s="227">
        <f t="shared" si="1"/>
        <v>3.36</v>
      </c>
      <c r="J19" s="93" t="s">
        <v>603</v>
      </c>
      <c r="K19" s="96" t="s">
        <v>609</v>
      </c>
      <c r="L19" s="238" t="s">
        <v>382</v>
      </c>
      <c r="M19" s="82"/>
    </row>
    <row r="20" spans="2:13" ht="39.950000000000003" customHeight="1">
      <c r="B20" s="76">
        <v>7</v>
      </c>
      <c r="C20" s="77" t="str">
        <f>DataSiswa!B14</f>
        <v>9980817555</v>
      </c>
      <c r="D20" s="78" t="str">
        <f>DataSiswa!C14</f>
        <v>Dina Mardana Dulas</v>
      </c>
      <c r="E20" s="242">
        <v>86</v>
      </c>
      <c r="F20" s="79">
        <v>84</v>
      </c>
      <c r="G20" s="80" t="s">
        <v>24</v>
      </c>
      <c r="H20" s="227">
        <f t="shared" si="0"/>
        <v>3.44</v>
      </c>
      <c r="I20" s="227">
        <f t="shared" si="1"/>
        <v>3.36</v>
      </c>
      <c r="J20" s="93" t="s">
        <v>603</v>
      </c>
      <c r="K20" s="96" t="s">
        <v>609</v>
      </c>
      <c r="L20" s="238" t="s">
        <v>382</v>
      </c>
      <c r="M20" s="82"/>
    </row>
    <row r="21" spans="2:13" ht="39.950000000000003" customHeight="1">
      <c r="B21" s="76">
        <v>8</v>
      </c>
      <c r="C21" s="77" t="str">
        <f>DataSiswa!B15</f>
        <v>9980817812</v>
      </c>
      <c r="D21" s="78" t="str">
        <f>DataSiswa!C15</f>
        <v>Famella Putriadi</v>
      </c>
      <c r="E21" s="242">
        <v>83</v>
      </c>
      <c r="F21" s="79">
        <v>86</v>
      </c>
      <c r="G21" s="80" t="s">
        <v>24</v>
      </c>
      <c r="H21" s="227">
        <f t="shared" si="0"/>
        <v>3.32</v>
      </c>
      <c r="I21" s="227">
        <f t="shared" si="1"/>
        <v>3.44</v>
      </c>
      <c r="J21" s="93" t="s">
        <v>603</v>
      </c>
      <c r="K21" s="96" t="s">
        <v>609</v>
      </c>
      <c r="L21" s="238" t="s">
        <v>382</v>
      </c>
      <c r="M21" s="82"/>
    </row>
    <row r="22" spans="2:13" ht="39.950000000000003" customHeight="1">
      <c r="B22" s="76">
        <v>9</v>
      </c>
      <c r="C22" s="77" t="str">
        <f>DataSiswa!B16</f>
        <v>9986349049</v>
      </c>
      <c r="D22" s="78" t="str">
        <f>DataSiswa!C16</f>
        <v>Febrawati Fajlynd</v>
      </c>
      <c r="E22" s="242">
        <v>86</v>
      </c>
      <c r="F22" s="79">
        <v>87</v>
      </c>
      <c r="G22" s="80" t="s">
        <v>24</v>
      </c>
      <c r="H22" s="227">
        <f t="shared" si="0"/>
        <v>3.44</v>
      </c>
      <c r="I22" s="227">
        <f t="shared" si="1"/>
        <v>3.48</v>
      </c>
      <c r="J22" s="93" t="s">
        <v>603</v>
      </c>
      <c r="K22" s="96" t="s">
        <v>609</v>
      </c>
      <c r="L22" s="238" t="s">
        <v>382</v>
      </c>
      <c r="M22" s="82"/>
    </row>
    <row r="23" spans="2:13" ht="39.950000000000003" customHeight="1">
      <c r="B23" s="76">
        <v>10</v>
      </c>
      <c r="C23" s="77" t="str">
        <f>DataSiswa!B17</f>
        <v>9980673410</v>
      </c>
      <c r="D23" s="78" t="str">
        <f>DataSiswa!C17</f>
        <v>Fierro Perdana Ibrahim</v>
      </c>
      <c r="E23" s="242">
        <v>86</v>
      </c>
      <c r="F23" s="79">
        <v>86</v>
      </c>
      <c r="G23" s="80" t="s">
        <v>24</v>
      </c>
      <c r="H23" s="227">
        <f t="shared" si="0"/>
        <v>3.44</v>
      </c>
      <c r="I23" s="227">
        <f t="shared" si="1"/>
        <v>3.44</v>
      </c>
      <c r="J23" s="93" t="s">
        <v>604</v>
      </c>
      <c r="K23" s="96" t="s">
        <v>609</v>
      </c>
      <c r="L23" s="238" t="s">
        <v>382</v>
      </c>
      <c r="M23" s="82"/>
    </row>
    <row r="24" spans="2:13" ht="39.950000000000003" customHeight="1">
      <c r="B24" s="76">
        <v>11</v>
      </c>
      <c r="C24" s="77" t="str">
        <f>DataSiswa!B18</f>
        <v>9980817833</v>
      </c>
      <c r="D24" s="78" t="str">
        <f>DataSiswa!C18</f>
        <v>Jihan Salsabilla</v>
      </c>
      <c r="E24" s="242">
        <v>87</v>
      </c>
      <c r="F24" s="79">
        <v>84</v>
      </c>
      <c r="G24" s="80" t="s">
        <v>24</v>
      </c>
      <c r="H24" s="227">
        <f t="shared" si="0"/>
        <v>3.48</v>
      </c>
      <c r="I24" s="227">
        <f t="shared" si="1"/>
        <v>3.36</v>
      </c>
      <c r="J24" s="93" t="s">
        <v>603</v>
      </c>
      <c r="K24" s="96" t="s">
        <v>610</v>
      </c>
      <c r="L24" s="238" t="s">
        <v>382</v>
      </c>
      <c r="M24" s="82"/>
    </row>
    <row r="25" spans="2:13" ht="39.950000000000003" customHeight="1">
      <c r="B25" s="76">
        <v>12</v>
      </c>
      <c r="C25" s="77" t="str">
        <f>DataSiswa!B19</f>
        <v>9980065874</v>
      </c>
      <c r="D25" s="78" t="str">
        <f>DataSiswa!C19</f>
        <v>Karina Safira Rannas</v>
      </c>
      <c r="E25" s="242">
        <v>84</v>
      </c>
      <c r="F25" s="79">
        <v>86</v>
      </c>
      <c r="G25" s="80" t="s">
        <v>24</v>
      </c>
      <c r="H25" s="227">
        <f t="shared" si="0"/>
        <v>3.36</v>
      </c>
      <c r="I25" s="227">
        <f t="shared" si="1"/>
        <v>3.44</v>
      </c>
      <c r="J25" s="93" t="s">
        <v>603</v>
      </c>
      <c r="K25" s="96" t="s">
        <v>609</v>
      </c>
      <c r="L25" s="238" t="s">
        <v>382</v>
      </c>
      <c r="M25" s="82"/>
    </row>
    <row r="26" spans="2:13" ht="39.950000000000003" customHeight="1">
      <c r="B26" s="76">
        <v>13</v>
      </c>
      <c r="C26" s="77" t="str">
        <f>DataSiswa!B20</f>
        <v>9970816998</v>
      </c>
      <c r="D26" s="78" t="str">
        <f>DataSiswa!C20</f>
        <v>Loura Oktaviola</v>
      </c>
      <c r="E26" s="242">
        <v>87</v>
      </c>
      <c r="F26" s="79">
        <v>86</v>
      </c>
      <c r="G26" s="80" t="s">
        <v>24</v>
      </c>
      <c r="H26" s="227">
        <f t="shared" si="0"/>
        <v>3.48</v>
      </c>
      <c r="I26" s="227">
        <f t="shared" si="1"/>
        <v>3.44</v>
      </c>
      <c r="J26" s="93" t="s">
        <v>603</v>
      </c>
      <c r="K26" s="96" t="s">
        <v>609</v>
      </c>
      <c r="L26" s="428" t="s">
        <v>382</v>
      </c>
      <c r="M26" s="84"/>
    </row>
    <row r="27" spans="2:13" ht="39.950000000000003" customHeight="1">
      <c r="B27" s="76">
        <v>14</v>
      </c>
      <c r="C27" s="77" t="str">
        <f>DataSiswa!B21</f>
        <v>9982095456</v>
      </c>
      <c r="D27" s="78" t="str">
        <f>DataSiswa!C21</f>
        <v>Lauren Dwina Arini</v>
      </c>
      <c r="E27" s="242">
        <v>85</v>
      </c>
      <c r="F27" s="79">
        <v>85</v>
      </c>
      <c r="G27" s="80" t="s">
        <v>24</v>
      </c>
      <c r="H27" s="227">
        <f t="shared" si="0"/>
        <v>3.4</v>
      </c>
      <c r="I27" s="227">
        <f t="shared" si="1"/>
        <v>3.4</v>
      </c>
      <c r="J27" s="93" t="s">
        <v>603</v>
      </c>
      <c r="K27" s="96" t="s">
        <v>609</v>
      </c>
      <c r="L27" s="428" t="s">
        <v>382</v>
      </c>
      <c r="M27" s="85"/>
    </row>
    <row r="28" spans="2:13" ht="39.950000000000003" customHeight="1">
      <c r="B28" s="76">
        <v>15</v>
      </c>
      <c r="C28" s="77" t="str">
        <f>DataSiswa!B22</f>
        <v>9980817839</v>
      </c>
      <c r="D28" s="78" t="str">
        <f>DataSiswa!C22</f>
        <v>Leoni Syagna Velia</v>
      </c>
      <c r="E28" s="242">
        <v>88</v>
      </c>
      <c r="F28" s="79">
        <v>87</v>
      </c>
      <c r="G28" s="79" t="s">
        <v>24</v>
      </c>
      <c r="H28" s="227">
        <f t="shared" si="0"/>
        <v>3.52</v>
      </c>
      <c r="I28" s="227">
        <f t="shared" si="1"/>
        <v>3.48</v>
      </c>
      <c r="J28" s="420" t="s">
        <v>605</v>
      </c>
      <c r="K28" s="231" t="s">
        <v>609</v>
      </c>
      <c r="L28" s="428" t="s">
        <v>382</v>
      </c>
      <c r="M28" s="85"/>
    </row>
    <row r="29" spans="2:13" ht="39.950000000000003" customHeight="1">
      <c r="B29" s="76">
        <v>16</v>
      </c>
      <c r="C29" s="77" t="str">
        <f>DataSiswa!B23</f>
        <v>9982885002</v>
      </c>
      <c r="D29" s="78" t="str">
        <f>DataSiswa!C23</f>
        <v>Mia Larisa Waskito</v>
      </c>
      <c r="E29" s="242">
        <v>87</v>
      </c>
      <c r="F29" s="79">
        <v>86</v>
      </c>
      <c r="G29" s="79" t="s">
        <v>24</v>
      </c>
      <c r="H29" s="227">
        <f t="shared" si="0"/>
        <v>3.48</v>
      </c>
      <c r="I29" s="227">
        <f t="shared" si="1"/>
        <v>3.44</v>
      </c>
      <c r="J29" s="420" t="s">
        <v>603</v>
      </c>
      <c r="K29" s="231" t="s">
        <v>609</v>
      </c>
      <c r="L29" s="428" t="s">
        <v>382</v>
      </c>
      <c r="M29" s="85"/>
    </row>
    <row r="30" spans="2:13" ht="39.950000000000003" customHeight="1">
      <c r="B30" s="76">
        <v>17</v>
      </c>
      <c r="C30" s="77" t="str">
        <f>DataSiswa!B24</f>
        <v>9983996707</v>
      </c>
      <c r="D30" s="78" t="str">
        <f>DataSiswa!C24</f>
        <v>Muhammad Fadel</v>
      </c>
      <c r="E30" s="242">
        <v>87</v>
      </c>
      <c r="F30" s="79">
        <v>87</v>
      </c>
      <c r="G30" s="79" t="s">
        <v>24</v>
      </c>
      <c r="H30" s="227">
        <f t="shared" si="0"/>
        <v>3.48</v>
      </c>
      <c r="I30" s="227">
        <f t="shared" si="1"/>
        <v>3.48</v>
      </c>
      <c r="J30" s="420" t="s">
        <v>603</v>
      </c>
      <c r="K30" s="231" t="s">
        <v>609</v>
      </c>
      <c r="L30" s="428" t="s">
        <v>382</v>
      </c>
      <c r="M30" s="85"/>
    </row>
    <row r="31" spans="2:13" ht="39.950000000000003" customHeight="1">
      <c r="B31" s="76">
        <v>18</v>
      </c>
      <c r="C31" s="77" t="str">
        <f>DataSiswa!B25</f>
        <v>9981328630</v>
      </c>
      <c r="D31" s="78" t="str">
        <f>DataSiswa!C25</f>
        <v>Muhammad Ilham Fajri</v>
      </c>
      <c r="E31" s="242">
        <v>86</v>
      </c>
      <c r="F31" s="79">
        <v>86</v>
      </c>
      <c r="G31" s="79" t="s">
        <v>24</v>
      </c>
      <c r="H31" s="227">
        <f t="shared" si="0"/>
        <v>3.44</v>
      </c>
      <c r="I31" s="227">
        <f t="shared" si="1"/>
        <v>3.44</v>
      </c>
      <c r="J31" s="420" t="s">
        <v>603</v>
      </c>
      <c r="K31" s="231" t="s">
        <v>609</v>
      </c>
      <c r="L31" s="428" t="s">
        <v>382</v>
      </c>
      <c r="M31" s="85"/>
    </row>
    <row r="32" spans="2:13" ht="39.950000000000003" customHeight="1">
      <c r="B32" s="76">
        <v>19</v>
      </c>
      <c r="C32" s="77" t="str">
        <f>DataSiswa!B26</f>
        <v>9980830799</v>
      </c>
      <c r="D32" s="78" t="str">
        <f>DataSiswa!C26</f>
        <v>Muhammad Irfan</v>
      </c>
      <c r="E32" s="242">
        <v>90</v>
      </c>
      <c r="F32" s="79">
        <v>88</v>
      </c>
      <c r="G32" s="79" t="s">
        <v>24</v>
      </c>
      <c r="H32" s="227">
        <f t="shared" si="0"/>
        <v>3.6</v>
      </c>
      <c r="I32" s="227">
        <f t="shared" si="1"/>
        <v>3.52</v>
      </c>
      <c r="J32" s="420" t="s">
        <v>605</v>
      </c>
      <c r="K32" s="231" t="s">
        <v>609</v>
      </c>
      <c r="L32" s="428" t="s">
        <v>571</v>
      </c>
      <c r="M32" s="85"/>
    </row>
    <row r="33" spans="2:13" ht="39.950000000000003" customHeight="1">
      <c r="B33" s="76">
        <v>20</v>
      </c>
      <c r="C33" s="77" t="str">
        <f>DataSiswa!B27</f>
        <v>9981704177</v>
      </c>
      <c r="D33" s="78" t="str">
        <f>DataSiswa!C27</f>
        <v>Naura Cantika</v>
      </c>
      <c r="E33" s="242">
        <v>86</v>
      </c>
      <c r="F33" s="79">
        <v>85</v>
      </c>
      <c r="G33" s="79" t="s">
        <v>24</v>
      </c>
      <c r="H33" s="227">
        <f t="shared" si="0"/>
        <v>3.44</v>
      </c>
      <c r="I33" s="227">
        <f t="shared" si="1"/>
        <v>3.4</v>
      </c>
      <c r="J33" s="420" t="s">
        <v>603</v>
      </c>
      <c r="K33" s="231" t="s">
        <v>609</v>
      </c>
      <c r="L33" s="428" t="s">
        <v>382</v>
      </c>
      <c r="M33" s="85"/>
    </row>
    <row r="34" spans="2:13" ht="39.950000000000003" customHeight="1">
      <c r="B34" s="76">
        <v>21</v>
      </c>
      <c r="C34" s="77" t="str">
        <f>DataSiswa!B28</f>
        <v>9980810523</v>
      </c>
      <c r="D34" s="78" t="str">
        <f>DataSiswa!C28</f>
        <v>Nurul Putri Salsabila</v>
      </c>
      <c r="E34" s="242">
        <v>87</v>
      </c>
      <c r="F34" s="79">
        <v>87</v>
      </c>
      <c r="G34" s="79" t="s">
        <v>24</v>
      </c>
      <c r="H34" s="227">
        <f t="shared" si="0"/>
        <v>3.48</v>
      </c>
      <c r="I34" s="227">
        <f t="shared" si="1"/>
        <v>3.48</v>
      </c>
      <c r="J34" s="420" t="s">
        <v>603</v>
      </c>
      <c r="K34" s="231" t="s">
        <v>609</v>
      </c>
      <c r="L34" s="428" t="s">
        <v>382</v>
      </c>
      <c r="M34" s="85"/>
    </row>
    <row r="35" spans="2:13" ht="39.950000000000003" customHeight="1">
      <c r="B35" s="76">
        <v>22</v>
      </c>
      <c r="C35" s="77" t="str">
        <f>DataSiswa!B29</f>
        <v>9998982066</v>
      </c>
      <c r="D35" s="78" t="str">
        <f>DataSiswa!C29</f>
        <v>Rafi Fikriya Riza</v>
      </c>
      <c r="E35" s="242">
        <v>86</v>
      </c>
      <c r="F35" s="79">
        <v>84</v>
      </c>
      <c r="G35" s="79" t="s">
        <v>24</v>
      </c>
      <c r="H35" s="227">
        <f t="shared" si="0"/>
        <v>3.44</v>
      </c>
      <c r="I35" s="227">
        <f t="shared" si="1"/>
        <v>3.36</v>
      </c>
      <c r="J35" s="420" t="s">
        <v>603</v>
      </c>
      <c r="K35" s="231" t="s">
        <v>609</v>
      </c>
      <c r="L35" s="428" t="s">
        <v>382</v>
      </c>
      <c r="M35" s="85"/>
    </row>
    <row r="36" spans="2:13" ht="39.950000000000003" customHeight="1">
      <c r="B36" s="76">
        <v>23</v>
      </c>
      <c r="C36" s="77" t="str">
        <f>DataSiswa!B30</f>
        <v>9985967994</v>
      </c>
      <c r="D36" s="78" t="str">
        <f>DataSiswa!C30</f>
        <v>Restu Tria Bahri</v>
      </c>
      <c r="E36" s="242">
        <v>85</v>
      </c>
      <c r="F36" s="79">
        <v>85</v>
      </c>
      <c r="G36" s="79" t="s">
        <v>24</v>
      </c>
      <c r="H36" s="227">
        <f t="shared" si="0"/>
        <v>3.4</v>
      </c>
      <c r="I36" s="227">
        <f t="shared" si="1"/>
        <v>3.4</v>
      </c>
      <c r="J36" s="420" t="s">
        <v>604</v>
      </c>
      <c r="K36" s="231" t="s">
        <v>609</v>
      </c>
      <c r="L36" s="428" t="s">
        <v>382</v>
      </c>
      <c r="M36" s="85"/>
    </row>
    <row r="37" spans="2:13" ht="39.950000000000003" customHeight="1">
      <c r="B37" s="76">
        <v>24</v>
      </c>
      <c r="C37" s="77" t="str">
        <f>DataSiswa!B31</f>
        <v>9980799351</v>
      </c>
      <c r="D37" s="78" t="str">
        <f>DataSiswa!C31</f>
        <v>Rifka Esofita</v>
      </c>
      <c r="E37" s="242">
        <v>84</v>
      </c>
      <c r="F37" s="79">
        <v>97</v>
      </c>
      <c r="G37" s="79" t="s">
        <v>24</v>
      </c>
      <c r="H37" s="227">
        <f t="shared" si="0"/>
        <v>3.36</v>
      </c>
      <c r="I37" s="227">
        <f t="shared" si="1"/>
        <v>3.88</v>
      </c>
      <c r="J37" s="420" t="s">
        <v>603</v>
      </c>
      <c r="K37" s="231" t="s">
        <v>611</v>
      </c>
      <c r="L37" s="428" t="s">
        <v>382</v>
      </c>
      <c r="M37" s="85"/>
    </row>
    <row r="38" spans="2:13" ht="39.950000000000003" customHeight="1">
      <c r="B38" s="76">
        <v>25</v>
      </c>
      <c r="C38" s="77" t="str">
        <f>DataSiswa!B32</f>
        <v>9982095495</v>
      </c>
      <c r="D38" s="78" t="str">
        <f>DataSiswa!C32</f>
        <v>Rifo Ranofan</v>
      </c>
      <c r="E38" s="242">
        <v>84</v>
      </c>
      <c r="F38" s="79">
        <v>84</v>
      </c>
      <c r="G38" s="79" t="s">
        <v>24</v>
      </c>
      <c r="H38" s="227">
        <f t="shared" si="0"/>
        <v>3.36</v>
      </c>
      <c r="I38" s="227">
        <f t="shared" si="1"/>
        <v>3.36</v>
      </c>
      <c r="J38" s="420" t="s">
        <v>603</v>
      </c>
      <c r="K38" s="231" t="s">
        <v>609</v>
      </c>
      <c r="L38" s="428" t="s">
        <v>382</v>
      </c>
      <c r="M38" s="85"/>
    </row>
    <row r="39" spans="2:13" ht="39.950000000000003" customHeight="1">
      <c r="B39" s="76">
        <v>26</v>
      </c>
      <c r="C39" s="77" t="str">
        <f>DataSiswa!B33</f>
        <v>9985858026</v>
      </c>
      <c r="D39" s="78" t="str">
        <f>DataSiswa!C33</f>
        <v>Stephany Widyanti</v>
      </c>
      <c r="E39" s="242">
        <v>86</v>
      </c>
      <c r="F39" s="79">
        <v>84</v>
      </c>
      <c r="G39" s="79" t="s">
        <v>24</v>
      </c>
      <c r="H39" s="227">
        <f t="shared" si="0"/>
        <v>3.44</v>
      </c>
      <c r="I39" s="227">
        <f t="shared" si="1"/>
        <v>3.36</v>
      </c>
      <c r="J39" s="420" t="s">
        <v>603</v>
      </c>
      <c r="K39" s="97" t="s">
        <v>609</v>
      </c>
      <c r="L39" s="428" t="s">
        <v>382</v>
      </c>
      <c r="M39" s="85"/>
    </row>
    <row r="40" spans="2:13" ht="39.950000000000003" customHeight="1">
      <c r="B40" s="76">
        <v>27</v>
      </c>
      <c r="C40" s="77" t="str">
        <f>DataSiswa!B34</f>
        <v>9980818512</v>
      </c>
      <c r="D40" s="78" t="str">
        <f>DataSiswa!C34</f>
        <v>Tiara Yulianti</v>
      </c>
      <c r="E40" s="242">
        <v>87</v>
      </c>
      <c r="F40" s="79">
        <v>86</v>
      </c>
      <c r="G40" s="79" t="s">
        <v>24</v>
      </c>
      <c r="H40" s="227">
        <f t="shared" si="0"/>
        <v>3.48</v>
      </c>
      <c r="I40" s="227">
        <f t="shared" si="1"/>
        <v>3.44</v>
      </c>
      <c r="J40" s="420" t="s">
        <v>603</v>
      </c>
      <c r="K40" s="97" t="s">
        <v>609</v>
      </c>
      <c r="L40" s="428" t="s">
        <v>382</v>
      </c>
      <c r="M40" s="85"/>
    </row>
    <row r="41" spans="2:13" ht="39.950000000000003" customHeight="1">
      <c r="B41" s="76">
        <v>28</v>
      </c>
      <c r="C41" s="77" t="str">
        <f>DataSiswa!B35</f>
        <v>9982393794</v>
      </c>
      <c r="D41" s="78" t="str">
        <f>DataSiswa!C35</f>
        <v>Tika Wandira</v>
      </c>
      <c r="E41" s="242">
        <v>86</v>
      </c>
      <c r="F41" s="79">
        <v>88</v>
      </c>
      <c r="G41" s="79" t="s">
        <v>24</v>
      </c>
      <c r="H41" s="227">
        <f t="shared" si="0"/>
        <v>3.44</v>
      </c>
      <c r="I41" s="227">
        <f t="shared" si="1"/>
        <v>3.52</v>
      </c>
      <c r="J41" s="420" t="s">
        <v>603</v>
      </c>
      <c r="K41" s="97" t="s">
        <v>609</v>
      </c>
      <c r="L41" s="428" t="s">
        <v>382</v>
      </c>
      <c r="M41" s="85"/>
    </row>
    <row r="42" spans="2:13" ht="39.950000000000003" customHeight="1">
      <c r="B42" s="76">
        <v>29</v>
      </c>
      <c r="C42" s="77" t="str">
        <f>DataSiswa!B36</f>
        <v>9980818720</v>
      </c>
      <c r="D42" s="78" t="str">
        <f>DataSiswa!C36</f>
        <v>Ulfa Febriyani</v>
      </c>
      <c r="E42" s="242">
        <v>85</v>
      </c>
      <c r="F42" s="79">
        <v>86</v>
      </c>
      <c r="G42" s="79" t="s">
        <v>24</v>
      </c>
      <c r="H42" s="227">
        <f t="shared" si="0"/>
        <v>3.4</v>
      </c>
      <c r="I42" s="227">
        <f t="shared" si="1"/>
        <v>3.44</v>
      </c>
      <c r="J42" s="420" t="s">
        <v>603</v>
      </c>
      <c r="K42" s="97" t="s">
        <v>609</v>
      </c>
      <c r="L42" s="428" t="s">
        <v>382</v>
      </c>
      <c r="M42" s="85"/>
    </row>
    <row r="43" spans="2:13" ht="39.950000000000003" customHeight="1">
      <c r="B43" s="76">
        <v>30</v>
      </c>
      <c r="C43" s="77" t="str">
        <f>DataSiswa!B37</f>
        <v>9990756408</v>
      </c>
      <c r="D43" s="78" t="str">
        <f>DataSiswa!C37</f>
        <v>Valdy Filando Sardi</v>
      </c>
      <c r="E43" s="242">
        <v>83</v>
      </c>
      <c r="F43" s="79">
        <v>85</v>
      </c>
      <c r="G43" s="79" t="s">
        <v>24</v>
      </c>
      <c r="H43" s="227">
        <f t="shared" si="0"/>
        <v>3.32</v>
      </c>
      <c r="I43" s="227">
        <f t="shared" si="1"/>
        <v>3.4</v>
      </c>
      <c r="J43" s="420" t="s">
        <v>603</v>
      </c>
      <c r="K43" s="97" t="s">
        <v>609</v>
      </c>
      <c r="L43" s="428" t="s">
        <v>382</v>
      </c>
      <c r="M43" s="85"/>
    </row>
    <row r="44" spans="2:13" ht="39.950000000000003" customHeight="1">
      <c r="B44" s="76">
        <v>31</v>
      </c>
      <c r="C44" s="77" t="str">
        <f>DataSiswa!B38</f>
        <v>9980816670</v>
      </c>
      <c r="D44" s="78" t="str">
        <f>DataSiswa!C38</f>
        <v>Vonny Maitaveri</v>
      </c>
      <c r="E44" s="242">
        <v>85</v>
      </c>
      <c r="F44" s="79">
        <v>85</v>
      </c>
      <c r="G44" s="79" t="s">
        <v>24</v>
      </c>
      <c r="H44" s="227">
        <f t="shared" si="0"/>
        <v>3.4</v>
      </c>
      <c r="I44" s="227">
        <f t="shared" si="1"/>
        <v>3.4</v>
      </c>
      <c r="J44" s="420" t="s">
        <v>603</v>
      </c>
      <c r="K44" s="97" t="s">
        <v>609</v>
      </c>
      <c r="L44" s="428" t="s">
        <v>382</v>
      </c>
      <c r="M44" s="85"/>
    </row>
    <row r="45" spans="2:13" ht="39.950000000000003" customHeight="1">
      <c r="B45" s="76">
        <v>32</v>
      </c>
      <c r="C45" s="77" t="str">
        <f>DataSiswa!B39</f>
        <v>9982889268</v>
      </c>
      <c r="D45" s="78" t="str">
        <f>DataSiswa!C39</f>
        <v>Wahyu Yolanda</v>
      </c>
      <c r="E45" s="242">
        <v>85</v>
      </c>
      <c r="F45" s="79">
        <v>86</v>
      </c>
      <c r="G45" s="79" t="s">
        <v>24</v>
      </c>
      <c r="H45" s="227">
        <f t="shared" si="0"/>
        <v>3.4</v>
      </c>
      <c r="I45" s="227">
        <f t="shared" si="1"/>
        <v>3.44</v>
      </c>
      <c r="J45" s="420" t="s">
        <v>603</v>
      </c>
      <c r="K45" s="97" t="s">
        <v>609</v>
      </c>
      <c r="L45" s="428" t="s">
        <v>568</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C000"/>
  </sheetPr>
  <dimension ref="B1:M54"/>
  <sheetViews>
    <sheetView topLeftCell="A40"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DataGuru!C27</f>
        <v>Pend Jas Olah Raga dan Kes</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DataGuru!D27</f>
        <v>Zirfan Efendi, S.Pd</v>
      </c>
      <c r="F9" s="566">
        <f>DataGuru!E27</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39.950000000000003" customHeight="1">
      <c r="B14" s="76">
        <v>1</v>
      </c>
      <c r="C14" s="77" t="str">
        <f>DataSiswa!B8</f>
        <v>9986980442</v>
      </c>
      <c r="D14" s="78" t="str">
        <f>DataSiswa!C8</f>
        <v>Aditya Taufik Sastra</v>
      </c>
      <c r="E14" s="242">
        <v>90</v>
      </c>
      <c r="F14" s="79">
        <v>86</v>
      </c>
      <c r="G14" s="80" t="s">
        <v>24</v>
      </c>
      <c r="H14" s="227">
        <f>(E14/100)*4</f>
        <v>3.6</v>
      </c>
      <c r="I14" s="227">
        <f>(F14/100)*4</f>
        <v>3.44</v>
      </c>
      <c r="J14" s="93" t="s">
        <v>590</v>
      </c>
      <c r="K14" s="96" t="s">
        <v>593</v>
      </c>
      <c r="L14" s="427" t="s">
        <v>382</v>
      </c>
      <c r="M14" s="81"/>
    </row>
    <row r="15" spans="2:13" ht="39.950000000000003" customHeight="1">
      <c r="B15" s="76">
        <v>2</v>
      </c>
      <c r="C15" s="77" t="str">
        <f>DataSiswa!B9</f>
        <v>9982907972</v>
      </c>
      <c r="D15" s="78" t="str">
        <f>DataSiswa!C9</f>
        <v>Angger Ghufron Pangestu</v>
      </c>
      <c r="E15" s="242">
        <v>90</v>
      </c>
      <c r="F15" s="79">
        <v>90</v>
      </c>
      <c r="G15" s="80" t="s">
        <v>24</v>
      </c>
      <c r="H15" s="227">
        <f t="shared" ref="H15:H53" si="0">(E15/100)*4</f>
        <v>3.6</v>
      </c>
      <c r="I15" s="227">
        <f t="shared" ref="I15:I53" si="1">(F15/100)*4</f>
        <v>3.6</v>
      </c>
      <c r="J15" s="93" t="s">
        <v>590</v>
      </c>
      <c r="K15" s="96" t="s">
        <v>593</v>
      </c>
      <c r="L15" s="427" t="s">
        <v>382</v>
      </c>
      <c r="M15" s="82"/>
    </row>
    <row r="16" spans="2:13" ht="39.950000000000003" customHeight="1">
      <c r="B16" s="76">
        <v>3</v>
      </c>
      <c r="C16" s="77" t="str">
        <f>DataSiswa!B10</f>
        <v>9983601594</v>
      </c>
      <c r="D16" s="78" t="str">
        <f>DataSiswa!C10</f>
        <v>Anjellia Novia Safitri</v>
      </c>
      <c r="E16" s="242">
        <v>87</v>
      </c>
      <c r="F16" s="79">
        <v>88</v>
      </c>
      <c r="G16" s="80" t="s">
        <v>24</v>
      </c>
      <c r="H16" s="227">
        <f t="shared" si="0"/>
        <v>3.48</v>
      </c>
      <c r="I16" s="227">
        <f t="shared" si="1"/>
        <v>3.52</v>
      </c>
      <c r="J16" s="93" t="s">
        <v>591</v>
      </c>
      <c r="K16" s="96" t="s">
        <v>593</v>
      </c>
      <c r="L16" s="427" t="s">
        <v>382</v>
      </c>
      <c r="M16" s="82"/>
    </row>
    <row r="17" spans="2:13" ht="39.950000000000003" customHeight="1">
      <c r="B17" s="76">
        <v>4</v>
      </c>
      <c r="C17" s="77" t="str">
        <f>DataSiswa!B11</f>
        <v>9989091797</v>
      </c>
      <c r="D17" s="78" t="str">
        <f>DataSiswa!C11</f>
        <v>Azis Fahrozi</v>
      </c>
      <c r="E17" s="242">
        <v>90</v>
      </c>
      <c r="F17" s="79">
        <v>88</v>
      </c>
      <c r="G17" s="80" t="s">
        <v>24</v>
      </c>
      <c r="H17" s="227">
        <f t="shared" si="0"/>
        <v>3.6</v>
      </c>
      <c r="I17" s="227">
        <f t="shared" si="1"/>
        <v>3.52</v>
      </c>
      <c r="J17" s="93" t="s">
        <v>590</v>
      </c>
      <c r="K17" s="96" t="s">
        <v>593</v>
      </c>
      <c r="L17" s="427" t="s">
        <v>382</v>
      </c>
      <c r="M17" s="82"/>
    </row>
    <row r="18" spans="2:13" ht="39.950000000000003" customHeight="1">
      <c r="B18" s="76">
        <v>5</v>
      </c>
      <c r="C18" s="77" t="str">
        <f>DataSiswa!B12</f>
        <v>9989983501</v>
      </c>
      <c r="D18" s="78" t="str">
        <f>DataSiswa!C12</f>
        <v>Berliana Monica</v>
      </c>
      <c r="E18" s="242">
        <v>88</v>
      </c>
      <c r="F18" s="79">
        <v>90</v>
      </c>
      <c r="G18" s="80" t="s">
        <v>24</v>
      </c>
      <c r="H18" s="227">
        <f t="shared" si="0"/>
        <v>3.52</v>
      </c>
      <c r="I18" s="227">
        <f t="shared" si="1"/>
        <v>3.6</v>
      </c>
      <c r="J18" s="93" t="s">
        <v>591</v>
      </c>
      <c r="K18" s="96" t="s">
        <v>593</v>
      </c>
      <c r="L18" s="427" t="s">
        <v>382</v>
      </c>
      <c r="M18" s="82"/>
    </row>
    <row r="19" spans="2:13" ht="39.950000000000003" customHeight="1">
      <c r="B19" s="76">
        <v>6</v>
      </c>
      <c r="C19" s="77" t="str">
        <f>DataSiswa!B13</f>
        <v>9970817548</v>
      </c>
      <c r="D19" s="78" t="str">
        <f>DataSiswa!C13</f>
        <v>Defri Nofriadi</v>
      </c>
      <c r="E19" s="242">
        <v>90</v>
      </c>
      <c r="F19" s="79">
        <v>90</v>
      </c>
      <c r="G19" s="80" t="s">
        <v>24</v>
      </c>
      <c r="H19" s="227">
        <f t="shared" si="0"/>
        <v>3.6</v>
      </c>
      <c r="I19" s="227">
        <f t="shared" si="1"/>
        <v>3.6</v>
      </c>
      <c r="J19" s="93" t="s">
        <v>590</v>
      </c>
      <c r="K19" s="96" t="s">
        <v>593</v>
      </c>
      <c r="L19" s="427" t="s">
        <v>382</v>
      </c>
      <c r="M19" s="82"/>
    </row>
    <row r="20" spans="2:13" ht="39.950000000000003" customHeight="1">
      <c r="B20" s="76">
        <v>7</v>
      </c>
      <c r="C20" s="77" t="str">
        <f>DataSiswa!B14</f>
        <v>9980817555</v>
      </c>
      <c r="D20" s="78" t="str">
        <f>DataSiswa!C14</f>
        <v>Dina Mardana Dulas</v>
      </c>
      <c r="E20" s="242">
        <v>87</v>
      </c>
      <c r="F20" s="79">
        <v>87</v>
      </c>
      <c r="G20" s="80" t="s">
        <v>24</v>
      </c>
      <c r="H20" s="227">
        <f t="shared" si="0"/>
        <v>3.48</v>
      </c>
      <c r="I20" s="227">
        <f t="shared" si="1"/>
        <v>3.48</v>
      </c>
      <c r="J20" s="93" t="s">
        <v>591</v>
      </c>
      <c r="K20" s="96" t="s">
        <v>593</v>
      </c>
      <c r="L20" s="427" t="s">
        <v>382</v>
      </c>
      <c r="M20" s="82"/>
    </row>
    <row r="21" spans="2:13" ht="39.950000000000003" customHeight="1">
      <c r="B21" s="76">
        <v>8</v>
      </c>
      <c r="C21" s="77" t="str">
        <f>DataSiswa!B15</f>
        <v>9980817812</v>
      </c>
      <c r="D21" s="78" t="str">
        <f>DataSiswa!C15</f>
        <v>Famella Putriadi</v>
      </c>
      <c r="E21" s="242">
        <v>87</v>
      </c>
      <c r="F21" s="79">
        <v>88</v>
      </c>
      <c r="G21" s="80" t="s">
        <v>24</v>
      </c>
      <c r="H21" s="227">
        <f t="shared" si="0"/>
        <v>3.48</v>
      </c>
      <c r="I21" s="227">
        <f t="shared" si="1"/>
        <v>3.52</v>
      </c>
      <c r="J21" s="93" t="s">
        <v>591</v>
      </c>
      <c r="K21" s="96" t="s">
        <v>593</v>
      </c>
      <c r="L21" s="427" t="s">
        <v>382</v>
      </c>
      <c r="M21" s="82"/>
    </row>
    <row r="22" spans="2:13" ht="39.950000000000003" customHeight="1">
      <c r="B22" s="76">
        <v>9</v>
      </c>
      <c r="C22" s="77" t="str">
        <f>DataSiswa!B16</f>
        <v>9986349049</v>
      </c>
      <c r="D22" s="78" t="str">
        <f>DataSiswa!C16</f>
        <v>Febrawati Fajlynd</v>
      </c>
      <c r="E22" s="242">
        <v>88</v>
      </c>
      <c r="F22" s="79">
        <v>90</v>
      </c>
      <c r="G22" s="80" t="s">
        <v>24</v>
      </c>
      <c r="H22" s="227">
        <f t="shared" si="0"/>
        <v>3.52</v>
      </c>
      <c r="I22" s="227">
        <f t="shared" si="1"/>
        <v>3.6</v>
      </c>
      <c r="J22" s="93" t="s">
        <v>590</v>
      </c>
      <c r="K22" s="96" t="s">
        <v>593</v>
      </c>
      <c r="L22" s="427" t="s">
        <v>382</v>
      </c>
      <c r="M22" s="82"/>
    </row>
    <row r="23" spans="2:13" ht="39.950000000000003" customHeight="1">
      <c r="B23" s="76">
        <v>10</v>
      </c>
      <c r="C23" s="77" t="str">
        <f>DataSiswa!B17</f>
        <v>9980673410</v>
      </c>
      <c r="D23" s="78" t="str">
        <f>DataSiswa!C17</f>
        <v>Fierro Perdana Ibrahim</v>
      </c>
      <c r="E23" s="242">
        <v>87</v>
      </c>
      <c r="F23" s="79">
        <v>90</v>
      </c>
      <c r="G23" s="80" t="s">
        <v>24</v>
      </c>
      <c r="H23" s="227">
        <f t="shared" si="0"/>
        <v>3.48</v>
      </c>
      <c r="I23" s="227">
        <f t="shared" si="1"/>
        <v>3.6</v>
      </c>
      <c r="J23" s="93" t="s">
        <v>592</v>
      </c>
      <c r="K23" s="96" t="s">
        <v>593</v>
      </c>
      <c r="L23" s="427" t="s">
        <v>382</v>
      </c>
      <c r="M23" s="82"/>
    </row>
    <row r="24" spans="2:13" ht="39.950000000000003" customHeight="1">
      <c r="B24" s="76">
        <v>11</v>
      </c>
      <c r="C24" s="77" t="str">
        <f>DataSiswa!B18</f>
        <v>9980817833</v>
      </c>
      <c r="D24" s="78" t="str">
        <f>DataSiswa!C18</f>
        <v>Jihan Salsabilla</v>
      </c>
      <c r="E24" s="242">
        <v>87</v>
      </c>
      <c r="F24" s="79">
        <v>90</v>
      </c>
      <c r="G24" s="80" t="s">
        <v>24</v>
      </c>
      <c r="H24" s="227">
        <f t="shared" si="0"/>
        <v>3.48</v>
      </c>
      <c r="I24" s="227">
        <f t="shared" si="1"/>
        <v>3.6</v>
      </c>
      <c r="J24" s="93" t="s">
        <v>591</v>
      </c>
      <c r="K24" s="96" t="s">
        <v>594</v>
      </c>
      <c r="L24" s="427" t="s">
        <v>382</v>
      </c>
      <c r="M24" s="82"/>
    </row>
    <row r="25" spans="2:13" ht="39.950000000000003" customHeight="1">
      <c r="B25" s="76">
        <v>12</v>
      </c>
      <c r="C25" s="77" t="str">
        <f>DataSiswa!B19</f>
        <v>9980065874</v>
      </c>
      <c r="D25" s="78" t="str">
        <f>DataSiswa!C19</f>
        <v>Karina Safira Rannas</v>
      </c>
      <c r="E25" s="242">
        <v>88</v>
      </c>
      <c r="F25" s="79">
        <v>90</v>
      </c>
      <c r="G25" s="80" t="s">
        <v>24</v>
      </c>
      <c r="H25" s="227">
        <f t="shared" si="0"/>
        <v>3.52</v>
      </c>
      <c r="I25" s="227">
        <f t="shared" si="1"/>
        <v>3.6</v>
      </c>
      <c r="J25" s="93" t="s">
        <v>590</v>
      </c>
      <c r="K25" s="96" t="s">
        <v>593</v>
      </c>
      <c r="L25" s="427" t="s">
        <v>382</v>
      </c>
      <c r="M25" s="82"/>
    </row>
    <row r="26" spans="2:13" ht="39.950000000000003" customHeight="1">
      <c r="B26" s="76">
        <v>13</v>
      </c>
      <c r="C26" s="77" t="str">
        <f>DataSiswa!B20</f>
        <v>9970816998</v>
      </c>
      <c r="D26" s="78" t="str">
        <f>DataSiswa!C20</f>
        <v>Loura Oktaviola</v>
      </c>
      <c r="E26" s="242">
        <v>86</v>
      </c>
      <c r="F26" s="79">
        <v>90</v>
      </c>
      <c r="G26" s="80" t="s">
        <v>24</v>
      </c>
      <c r="H26" s="227">
        <f t="shared" si="0"/>
        <v>3.44</v>
      </c>
      <c r="I26" s="227">
        <f t="shared" si="1"/>
        <v>3.6</v>
      </c>
      <c r="J26" s="93" t="s">
        <v>591</v>
      </c>
      <c r="K26" s="96" t="s">
        <v>593</v>
      </c>
      <c r="L26" s="426" t="s">
        <v>382</v>
      </c>
      <c r="M26" s="84"/>
    </row>
    <row r="27" spans="2:13" ht="39.950000000000003" customHeight="1">
      <c r="B27" s="76">
        <v>14</v>
      </c>
      <c r="C27" s="77" t="str">
        <f>DataSiswa!B21</f>
        <v>9982095456</v>
      </c>
      <c r="D27" s="78" t="str">
        <f>DataSiswa!C21</f>
        <v>Lauren Dwina Arini</v>
      </c>
      <c r="E27" s="242">
        <v>89</v>
      </c>
      <c r="F27" s="79">
        <v>90</v>
      </c>
      <c r="G27" s="80" t="s">
        <v>24</v>
      </c>
      <c r="H27" s="227">
        <f t="shared" si="0"/>
        <v>3.56</v>
      </c>
      <c r="I27" s="227">
        <f t="shared" si="1"/>
        <v>3.6</v>
      </c>
      <c r="J27" s="93" t="s">
        <v>590</v>
      </c>
      <c r="K27" s="96" t="s">
        <v>593</v>
      </c>
      <c r="L27" s="426" t="s">
        <v>382</v>
      </c>
      <c r="M27" s="85"/>
    </row>
    <row r="28" spans="2:13" ht="39.950000000000003" customHeight="1">
      <c r="B28" s="76">
        <v>15</v>
      </c>
      <c r="C28" s="77" t="str">
        <f>DataSiswa!B22</f>
        <v>9980817839</v>
      </c>
      <c r="D28" s="78" t="str">
        <f>DataSiswa!C22</f>
        <v>Leoni Syagna Velia</v>
      </c>
      <c r="E28" s="242">
        <v>86</v>
      </c>
      <c r="F28" s="79">
        <v>87</v>
      </c>
      <c r="G28" s="79" t="s">
        <v>24</v>
      </c>
      <c r="H28" s="227">
        <f t="shared" si="0"/>
        <v>3.44</v>
      </c>
      <c r="I28" s="227">
        <f t="shared" si="1"/>
        <v>3.48</v>
      </c>
      <c r="J28" s="420" t="s">
        <v>591</v>
      </c>
      <c r="K28" s="424" t="s">
        <v>593</v>
      </c>
      <c r="L28" s="426" t="s">
        <v>382</v>
      </c>
      <c r="M28" s="85"/>
    </row>
    <row r="29" spans="2:13" ht="39.950000000000003" customHeight="1">
      <c r="B29" s="76">
        <v>16</v>
      </c>
      <c r="C29" s="77" t="str">
        <f>DataSiswa!B23</f>
        <v>9982885002</v>
      </c>
      <c r="D29" s="78" t="str">
        <f>DataSiswa!C23</f>
        <v>Mia Larisa Waskito</v>
      </c>
      <c r="E29" s="242">
        <v>86</v>
      </c>
      <c r="F29" s="79">
        <v>86</v>
      </c>
      <c r="G29" s="79" t="s">
        <v>24</v>
      </c>
      <c r="H29" s="227">
        <f t="shared" si="0"/>
        <v>3.44</v>
      </c>
      <c r="I29" s="227">
        <f t="shared" si="1"/>
        <v>3.44</v>
      </c>
      <c r="J29" s="420" t="s">
        <v>591</v>
      </c>
      <c r="K29" s="424" t="s">
        <v>593</v>
      </c>
      <c r="L29" s="426" t="s">
        <v>382</v>
      </c>
      <c r="M29" s="85"/>
    </row>
    <row r="30" spans="2:13" ht="39.950000000000003" customHeight="1">
      <c r="B30" s="76">
        <v>17</v>
      </c>
      <c r="C30" s="77" t="str">
        <f>DataSiswa!B24</f>
        <v>9983996707</v>
      </c>
      <c r="D30" s="78" t="str">
        <f>DataSiswa!C24</f>
        <v>Muhammad Fadel</v>
      </c>
      <c r="E30" s="242">
        <v>89</v>
      </c>
      <c r="F30" s="79">
        <v>90</v>
      </c>
      <c r="G30" s="79" t="s">
        <v>24</v>
      </c>
      <c r="H30" s="227">
        <f t="shared" si="0"/>
        <v>3.56</v>
      </c>
      <c r="I30" s="227">
        <f t="shared" si="1"/>
        <v>3.6</v>
      </c>
      <c r="J30" s="420" t="s">
        <v>590</v>
      </c>
      <c r="K30" s="424" t="s">
        <v>593</v>
      </c>
      <c r="L30" s="426" t="s">
        <v>382</v>
      </c>
      <c r="M30" s="85"/>
    </row>
    <row r="31" spans="2:13" ht="39.950000000000003" customHeight="1">
      <c r="B31" s="76">
        <v>18</v>
      </c>
      <c r="C31" s="77" t="str">
        <f>DataSiswa!B25</f>
        <v>9981328630</v>
      </c>
      <c r="D31" s="78" t="str">
        <f>DataSiswa!C25</f>
        <v>Muhammad Ilham Fajri</v>
      </c>
      <c r="E31" s="242">
        <v>90</v>
      </c>
      <c r="F31" s="79">
        <v>90</v>
      </c>
      <c r="G31" s="79" t="s">
        <v>24</v>
      </c>
      <c r="H31" s="227">
        <f t="shared" si="0"/>
        <v>3.6</v>
      </c>
      <c r="I31" s="227">
        <f t="shared" si="1"/>
        <v>3.6</v>
      </c>
      <c r="J31" s="420" t="s">
        <v>590</v>
      </c>
      <c r="K31" s="424" t="s">
        <v>593</v>
      </c>
      <c r="L31" s="426" t="s">
        <v>382</v>
      </c>
      <c r="M31" s="85"/>
    </row>
    <row r="32" spans="2:13" ht="39.950000000000003" customHeight="1">
      <c r="B32" s="76">
        <v>19</v>
      </c>
      <c r="C32" s="268" t="str">
        <f>DataSiswa!B26</f>
        <v>9980830799</v>
      </c>
      <c r="D32" s="269" t="str">
        <f>DataSiswa!C26</f>
        <v>Muhammad Irfan</v>
      </c>
      <c r="E32" s="419">
        <v>89</v>
      </c>
      <c r="F32" s="239">
        <v>90</v>
      </c>
      <c r="G32" s="239" t="s">
        <v>24</v>
      </c>
      <c r="H32" s="227">
        <f t="shared" si="0"/>
        <v>3.56</v>
      </c>
      <c r="I32" s="227">
        <f t="shared" si="1"/>
        <v>3.6</v>
      </c>
      <c r="J32" s="420" t="s">
        <v>590</v>
      </c>
      <c r="K32" s="424" t="s">
        <v>593</v>
      </c>
      <c r="L32" s="426" t="s">
        <v>571</v>
      </c>
      <c r="M32" s="85"/>
    </row>
    <row r="33" spans="2:13" ht="39.950000000000003" customHeight="1">
      <c r="B33" s="76">
        <v>20</v>
      </c>
      <c r="C33" s="268" t="str">
        <f>DataSiswa!B27</f>
        <v>9981704177</v>
      </c>
      <c r="D33" s="269" t="str">
        <f>DataSiswa!C27</f>
        <v>Naura Cantika</v>
      </c>
      <c r="E33" s="419">
        <v>88</v>
      </c>
      <c r="F33" s="239">
        <v>90</v>
      </c>
      <c r="G33" s="239" t="s">
        <v>24</v>
      </c>
      <c r="H33" s="227">
        <f t="shared" si="0"/>
        <v>3.52</v>
      </c>
      <c r="I33" s="227">
        <f t="shared" si="1"/>
        <v>3.6</v>
      </c>
      <c r="J33" s="420" t="s">
        <v>590</v>
      </c>
      <c r="K33" s="424" t="s">
        <v>593</v>
      </c>
      <c r="L33" s="426" t="s">
        <v>382</v>
      </c>
      <c r="M33" s="85"/>
    </row>
    <row r="34" spans="2:13" ht="39.950000000000003" customHeight="1">
      <c r="B34" s="76">
        <v>21</v>
      </c>
      <c r="C34" s="77" t="str">
        <f>DataSiswa!B28</f>
        <v>9980810523</v>
      </c>
      <c r="D34" s="78" t="str">
        <f>DataSiswa!C28</f>
        <v>Nurul Putri Salsabila</v>
      </c>
      <c r="E34" s="242">
        <v>88</v>
      </c>
      <c r="F34" s="79">
        <v>90</v>
      </c>
      <c r="G34" s="79" t="s">
        <v>24</v>
      </c>
      <c r="H34" s="227">
        <f t="shared" si="0"/>
        <v>3.52</v>
      </c>
      <c r="I34" s="227">
        <f t="shared" si="1"/>
        <v>3.6</v>
      </c>
      <c r="J34" s="420" t="s">
        <v>590</v>
      </c>
      <c r="K34" s="424" t="s">
        <v>593</v>
      </c>
      <c r="L34" s="426" t="s">
        <v>382</v>
      </c>
      <c r="M34" s="85"/>
    </row>
    <row r="35" spans="2:13" ht="39.950000000000003" customHeight="1">
      <c r="B35" s="76">
        <v>22</v>
      </c>
      <c r="C35" s="77" t="str">
        <f>DataSiswa!B29</f>
        <v>9998982066</v>
      </c>
      <c r="D35" s="78" t="str">
        <f>DataSiswa!C29</f>
        <v>Rafi Fikriya Riza</v>
      </c>
      <c r="E35" s="242">
        <v>88</v>
      </c>
      <c r="F35" s="79">
        <v>90</v>
      </c>
      <c r="G35" s="79" t="s">
        <v>24</v>
      </c>
      <c r="H35" s="227">
        <f t="shared" si="0"/>
        <v>3.52</v>
      </c>
      <c r="I35" s="227">
        <f t="shared" si="1"/>
        <v>3.6</v>
      </c>
      <c r="J35" s="420" t="s">
        <v>591</v>
      </c>
      <c r="K35" s="424" t="s">
        <v>593</v>
      </c>
      <c r="L35" s="426" t="s">
        <v>382</v>
      </c>
      <c r="M35" s="85"/>
    </row>
    <row r="36" spans="2:13" ht="39.950000000000003" customHeight="1">
      <c r="B36" s="76">
        <v>23</v>
      </c>
      <c r="C36" s="77" t="str">
        <f>DataSiswa!B30</f>
        <v>9985967994</v>
      </c>
      <c r="D36" s="78" t="str">
        <f>DataSiswa!C30</f>
        <v>Restu Tria Bahri</v>
      </c>
      <c r="E36" s="242">
        <v>84</v>
      </c>
      <c r="F36" s="79">
        <v>85</v>
      </c>
      <c r="G36" s="79" t="s">
        <v>24</v>
      </c>
      <c r="H36" s="227">
        <f t="shared" si="0"/>
        <v>3.36</v>
      </c>
      <c r="I36" s="227">
        <f t="shared" si="1"/>
        <v>3.4</v>
      </c>
      <c r="J36" s="420" t="s">
        <v>592</v>
      </c>
      <c r="K36" s="424" t="s">
        <v>593</v>
      </c>
      <c r="L36" s="426" t="s">
        <v>382</v>
      </c>
      <c r="M36" s="85"/>
    </row>
    <row r="37" spans="2:13" ht="39.950000000000003" customHeight="1">
      <c r="B37" s="76">
        <v>24</v>
      </c>
      <c r="C37" s="77" t="str">
        <f>DataSiswa!B31</f>
        <v>9980799351</v>
      </c>
      <c r="D37" s="78" t="str">
        <f>DataSiswa!C31</f>
        <v>Rifka Esofita</v>
      </c>
      <c r="E37" s="242">
        <v>88</v>
      </c>
      <c r="F37" s="79">
        <v>89</v>
      </c>
      <c r="G37" s="79" t="s">
        <v>24</v>
      </c>
      <c r="H37" s="227">
        <f t="shared" si="0"/>
        <v>3.52</v>
      </c>
      <c r="I37" s="227">
        <f t="shared" si="1"/>
        <v>3.56</v>
      </c>
      <c r="J37" s="420" t="s">
        <v>591</v>
      </c>
      <c r="K37" s="424" t="s">
        <v>593</v>
      </c>
      <c r="L37" s="426" t="s">
        <v>382</v>
      </c>
      <c r="M37" s="85"/>
    </row>
    <row r="38" spans="2:13" ht="39.950000000000003" customHeight="1">
      <c r="B38" s="76">
        <v>25</v>
      </c>
      <c r="C38" s="77" t="str">
        <f>DataSiswa!B32</f>
        <v>9982095495</v>
      </c>
      <c r="D38" s="78" t="str">
        <f>DataSiswa!C32</f>
        <v>Rifo Ranofan</v>
      </c>
      <c r="E38" s="242">
        <v>88</v>
      </c>
      <c r="F38" s="79">
        <v>89</v>
      </c>
      <c r="G38" s="79" t="s">
        <v>24</v>
      </c>
      <c r="H38" s="227">
        <f t="shared" si="0"/>
        <v>3.52</v>
      </c>
      <c r="I38" s="227">
        <f t="shared" si="1"/>
        <v>3.56</v>
      </c>
      <c r="J38" s="420" t="s">
        <v>590</v>
      </c>
      <c r="K38" s="424" t="s">
        <v>593</v>
      </c>
      <c r="L38" s="426" t="s">
        <v>382</v>
      </c>
      <c r="M38" s="85"/>
    </row>
    <row r="39" spans="2:13" ht="39.950000000000003" customHeight="1">
      <c r="B39" s="76">
        <v>26</v>
      </c>
      <c r="C39" s="77" t="str">
        <f>DataSiswa!B33</f>
        <v>9985858026</v>
      </c>
      <c r="D39" s="78" t="str">
        <f>DataSiswa!C33</f>
        <v>Stephany Widyanti</v>
      </c>
      <c r="E39" s="242">
        <v>89</v>
      </c>
      <c r="F39" s="79">
        <v>90</v>
      </c>
      <c r="G39" s="86" t="s">
        <v>24</v>
      </c>
      <c r="H39" s="227">
        <f t="shared" si="0"/>
        <v>3.56</v>
      </c>
      <c r="I39" s="227">
        <f t="shared" si="1"/>
        <v>3.6</v>
      </c>
      <c r="J39" s="420" t="s">
        <v>590</v>
      </c>
      <c r="K39" s="424" t="s">
        <v>593</v>
      </c>
      <c r="L39" s="426" t="s">
        <v>382</v>
      </c>
      <c r="M39" s="85"/>
    </row>
    <row r="40" spans="2:13" ht="39.950000000000003" customHeight="1">
      <c r="B40" s="76">
        <v>27</v>
      </c>
      <c r="C40" s="77" t="str">
        <f>DataSiswa!B34</f>
        <v>9980818512</v>
      </c>
      <c r="D40" s="78" t="str">
        <f>DataSiswa!C34</f>
        <v>Tiara Yulianti</v>
      </c>
      <c r="E40" s="242">
        <v>88</v>
      </c>
      <c r="F40" s="79">
        <v>88</v>
      </c>
      <c r="G40" s="86" t="s">
        <v>24</v>
      </c>
      <c r="H40" s="227">
        <f t="shared" si="0"/>
        <v>3.52</v>
      </c>
      <c r="I40" s="227">
        <f t="shared" si="1"/>
        <v>3.52</v>
      </c>
      <c r="J40" s="420" t="s">
        <v>590</v>
      </c>
      <c r="K40" s="424" t="s">
        <v>593</v>
      </c>
      <c r="L40" s="426" t="s">
        <v>382</v>
      </c>
      <c r="M40" s="85"/>
    </row>
    <row r="41" spans="2:13" ht="39.950000000000003" customHeight="1">
      <c r="B41" s="76">
        <v>28</v>
      </c>
      <c r="C41" s="77" t="str">
        <f>DataSiswa!B35</f>
        <v>9982393794</v>
      </c>
      <c r="D41" s="78" t="str">
        <f>DataSiswa!C35</f>
        <v>Tika Wandira</v>
      </c>
      <c r="E41" s="242">
        <v>86</v>
      </c>
      <c r="F41" s="79">
        <v>85</v>
      </c>
      <c r="G41" s="86" t="s">
        <v>24</v>
      </c>
      <c r="H41" s="227">
        <f t="shared" si="0"/>
        <v>3.44</v>
      </c>
      <c r="I41" s="227">
        <f t="shared" si="1"/>
        <v>3.4</v>
      </c>
      <c r="J41" s="420" t="s">
        <v>591</v>
      </c>
      <c r="K41" s="424" t="s">
        <v>593</v>
      </c>
      <c r="L41" s="426" t="s">
        <v>382</v>
      </c>
      <c r="M41" s="85"/>
    </row>
    <row r="42" spans="2:13" ht="39.950000000000003" customHeight="1">
      <c r="B42" s="76">
        <v>29</v>
      </c>
      <c r="C42" s="77" t="str">
        <f>DataSiswa!B36</f>
        <v>9980818720</v>
      </c>
      <c r="D42" s="78" t="str">
        <f>DataSiswa!C36</f>
        <v>Ulfa Febriyani</v>
      </c>
      <c r="E42" s="242">
        <v>87</v>
      </c>
      <c r="F42" s="79">
        <v>90</v>
      </c>
      <c r="G42" s="86" t="s">
        <v>24</v>
      </c>
      <c r="H42" s="227">
        <f t="shared" si="0"/>
        <v>3.48</v>
      </c>
      <c r="I42" s="227">
        <f t="shared" si="1"/>
        <v>3.6</v>
      </c>
      <c r="J42" s="420" t="s">
        <v>591</v>
      </c>
      <c r="K42" s="424" t="s">
        <v>593</v>
      </c>
      <c r="L42" s="426" t="s">
        <v>382</v>
      </c>
      <c r="M42" s="85"/>
    </row>
    <row r="43" spans="2:13" ht="39.950000000000003" customHeight="1">
      <c r="B43" s="76">
        <v>30</v>
      </c>
      <c r="C43" s="77" t="str">
        <f>DataSiswa!B37</f>
        <v>9990756408</v>
      </c>
      <c r="D43" s="78" t="str">
        <f>DataSiswa!C37</f>
        <v>Valdy Filando Sardi</v>
      </c>
      <c r="E43" s="242">
        <v>88</v>
      </c>
      <c r="F43" s="79">
        <v>90</v>
      </c>
      <c r="G43" s="86" t="s">
        <v>24</v>
      </c>
      <c r="H43" s="227">
        <f t="shared" si="0"/>
        <v>3.52</v>
      </c>
      <c r="I43" s="227">
        <f t="shared" si="1"/>
        <v>3.6</v>
      </c>
      <c r="J43" s="420" t="s">
        <v>590</v>
      </c>
      <c r="K43" s="424" t="s">
        <v>593</v>
      </c>
      <c r="L43" s="426" t="s">
        <v>382</v>
      </c>
      <c r="M43" s="85"/>
    </row>
    <row r="44" spans="2:13" ht="39.950000000000003" customHeight="1">
      <c r="B44" s="76">
        <v>31</v>
      </c>
      <c r="C44" s="77" t="str">
        <f>DataSiswa!B38</f>
        <v>9980816670</v>
      </c>
      <c r="D44" s="78" t="str">
        <f>DataSiswa!C38</f>
        <v>Vonny Maitaveri</v>
      </c>
      <c r="E44" s="242">
        <v>88</v>
      </c>
      <c r="F44" s="79">
        <v>90</v>
      </c>
      <c r="G44" s="86" t="s">
        <v>24</v>
      </c>
      <c r="H44" s="227">
        <f t="shared" si="0"/>
        <v>3.52</v>
      </c>
      <c r="I44" s="227">
        <f t="shared" si="1"/>
        <v>3.6</v>
      </c>
      <c r="J44" s="420" t="s">
        <v>590</v>
      </c>
      <c r="K44" s="424" t="s">
        <v>593</v>
      </c>
      <c r="L44" s="426" t="s">
        <v>382</v>
      </c>
      <c r="M44" s="85"/>
    </row>
    <row r="45" spans="2:13" ht="39.950000000000003" customHeight="1">
      <c r="B45" s="76">
        <v>32</v>
      </c>
      <c r="C45" s="77" t="str">
        <f>DataSiswa!B39</f>
        <v>9982889268</v>
      </c>
      <c r="D45" s="78" t="str">
        <f>DataSiswa!C39</f>
        <v>Wahyu Yolanda</v>
      </c>
      <c r="E45" s="242">
        <v>86</v>
      </c>
      <c r="F45" s="79">
        <v>87</v>
      </c>
      <c r="G45" s="86" t="s">
        <v>24</v>
      </c>
      <c r="H45" s="227">
        <f t="shared" si="0"/>
        <v>3.44</v>
      </c>
      <c r="I45" s="227">
        <f t="shared" si="1"/>
        <v>3.48</v>
      </c>
      <c r="J45" s="420" t="s">
        <v>591</v>
      </c>
      <c r="K45" s="424" t="s">
        <v>593</v>
      </c>
      <c r="L45" s="426" t="s">
        <v>595</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B1:M54"/>
  <sheetViews>
    <sheetView topLeftCell="A10"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DataGuru!C28</f>
        <v>Prakarya Dan Kewira Usahaan</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DataGuru!D28</f>
        <v>Dra. Ernawati</v>
      </c>
      <c r="F9" s="566">
        <f>DataGuru!E28</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39.950000000000003" customHeight="1">
      <c r="B14" s="76">
        <v>1</v>
      </c>
      <c r="C14" s="77" t="str">
        <f>DataSiswa!B8</f>
        <v>9986980442</v>
      </c>
      <c r="D14" s="78" t="str">
        <f>DataSiswa!C8</f>
        <v>Aditya Taufik Sastra</v>
      </c>
      <c r="E14" s="242">
        <v>86</v>
      </c>
      <c r="F14" s="242">
        <v>90</v>
      </c>
      <c r="G14" s="80" t="s">
        <v>24</v>
      </c>
      <c r="H14" s="227">
        <f>(E14/100)*4</f>
        <v>3.44</v>
      </c>
      <c r="I14" s="227">
        <f>(F14/100)*4</f>
        <v>3.6</v>
      </c>
      <c r="J14" s="93" t="s">
        <v>557</v>
      </c>
      <c r="K14" s="96" t="s">
        <v>561</v>
      </c>
      <c r="L14" s="427" t="s">
        <v>382</v>
      </c>
      <c r="M14" s="81"/>
    </row>
    <row r="15" spans="2:13" ht="39.950000000000003" customHeight="1">
      <c r="B15" s="76">
        <v>2</v>
      </c>
      <c r="C15" s="77" t="str">
        <f>DataSiswa!B9</f>
        <v>9982907972</v>
      </c>
      <c r="D15" s="78" t="str">
        <f>DataSiswa!C9</f>
        <v>Angger Ghufron Pangestu</v>
      </c>
      <c r="E15" s="242">
        <v>86</v>
      </c>
      <c r="F15" s="242">
        <v>92</v>
      </c>
      <c r="G15" s="80" t="s">
        <v>334</v>
      </c>
      <c r="H15" s="227">
        <f t="shared" ref="H15:H53" si="0">(E15/100)*4</f>
        <v>3.44</v>
      </c>
      <c r="I15" s="227">
        <f t="shared" ref="I15:I53" si="1">(F15/100)*4</f>
        <v>3.68</v>
      </c>
      <c r="J15" s="93" t="s">
        <v>557</v>
      </c>
      <c r="K15" s="96" t="s">
        <v>561</v>
      </c>
      <c r="L15" s="427" t="s">
        <v>383</v>
      </c>
      <c r="M15" s="82"/>
    </row>
    <row r="16" spans="2:13" ht="39.950000000000003" customHeight="1">
      <c r="B16" s="76">
        <v>3</v>
      </c>
      <c r="C16" s="77" t="str">
        <f>DataSiswa!B10</f>
        <v>9983601594</v>
      </c>
      <c r="D16" s="78" t="str">
        <f>DataSiswa!C10</f>
        <v>Anjellia Novia Safitri</v>
      </c>
      <c r="E16" s="242">
        <v>85</v>
      </c>
      <c r="F16" s="242">
        <v>92</v>
      </c>
      <c r="G16" s="80" t="s">
        <v>24</v>
      </c>
      <c r="H16" s="227">
        <f t="shared" si="0"/>
        <v>3.4</v>
      </c>
      <c r="I16" s="227">
        <f t="shared" si="1"/>
        <v>3.68</v>
      </c>
      <c r="J16" s="93" t="s">
        <v>557</v>
      </c>
      <c r="K16" s="96" t="s">
        <v>561</v>
      </c>
      <c r="L16" s="427" t="s">
        <v>382</v>
      </c>
      <c r="M16" s="82"/>
    </row>
    <row r="17" spans="2:13" ht="39.950000000000003" customHeight="1">
      <c r="B17" s="76">
        <v>4</v>
      </c>
      <c r="C17" s="77" t="str">
        <f>DataSiswa!B11</f>
        <v>9989091797</v>
      </c>
      <c r="D17" s="78" t="str">
        <f>DataSiswa!C11</f>
        <v>Azis Fahrozi</v>
      </c>
      <c r="E17" s="242">
        <v>87</v>
      </c>
      <c r="F17" s="242">
        <v>92</v>
      </c>
      <c r="G17" s="80" t="s">
        <v>24</v>
      </c>
      <c r="H17" s="227">
        <f t="shared" si="0"/>
        <v>3.48</v>
      </c>
      <c r="I17" s="227">
        <f t="shared" si="1"/>
        <v>3.68</v>
      </c>
      <c r="J17" s="93" t="s">
        <v>557</v>
      </c>
      <c r="K17" s="96" t="s">
        <v>561</v>
      </c>
      <c r="L17" s="427" t="s">
        <v>382</v>
      </c>
      <c r="M17" s="82"/>
    </row>
    <row r="18" spans="2:13" ht="39.950000000000003" customHeight="1">
      <c r="B18" s="76">
        <v>5</v>
      </c>
      <c r="C18" s="77" t="str">
        <f>DataSiswa!B12</f>
        <v>9989983501</v>
      </c>
      <c r="D18" s="78" t="str">
        <f>DataSiswa!C12</f>
        <v>Berliana Monica</v>
      </c>
      <c r="E18" s="242">
        <v>86</v>
      </c>
      <c r="F18" s="242">
        <v>92</v>
      </c>
      <c r="G18" s="80" t="s">
        <v>334</v>
      </c>
      <c r="H18" s="227">
        <f t="shared" si="0"/>
        <v>3.44</v>
      </c>
      <c r="I18" s="227">
        <f t="shared" si="1"/>
        <v>3.68</v>
      </c>
      <c r="J18" s="93" t="s">
        <v>557</v>
      </c>
      <c r="K18" s="96" t="s">
        <v>561</v>
      </c>
      <c r="L18" s="427" t="s">
        <v>383</v>
      </c>
      <c r="M18" s="82"/>
    </row>
    <row r="19" spans="2:13" ht="39.950000000000003" customHeight="1">
      <c r="B19" s="76">
        <v>6</v>
      </c>
      <c r="C19" s="77" t="str">
        <f>DataSiswa!B13</f>
        <v>9970817548</v>
      </c>
      <c r="D19" s="78" t="str">
        <f>DataSiswa!C13</f>
        <v>Defri Nofriadi</v>
      </c>
      <c r="E19" s="242">
        <v>89</v>
      </c>
      <c r="F19" s="242">
        <v>90</v>
      </c>
      <c r="G19" s="80" t="s">
        <v>334</v>
      </c>
      <c r="H19" s="227">
        <f t="shared" si="0"/>
        <v>3.56</v>
      </c>
      <c r="I19" s="227">
        <f t="shared" si="1"/>
        <v>3.6</v>
      </c>
      <c r="J19" s="93" t="s">
        <v>558</v>
      </c>
      <c r="K19" s="96" t="s">
        <v>561</v>
      </c>
      <c r="L19" s="427" t="s">
        <v>383</v>
      </c>
      <c r="M19" s="82"/>
    </row>
    <row r="20" spans="2:13" ht="39.950000000000003" customHeight="1">
      <c r="B20" s="76">
        <v>7</v>
      </c>
      <c r="C20" s="77" t="str">
        <f>DataSiswa!B14</f>
        <v>9980817555</v>
      </c>
      <c r="D20" s="78" t="str">
        <f>DataSiswa!C14</f>
        <v>Dina Mardana Dulas</v>
      </c>
      <c r="E20" s="242">
        <v>85</v>
      </c>
      <c r="F20" s="242">
        <v>90</v>
      </c>
      <c r="G20" s="80" t="s">
        <v>24</v>
      </c>
      <c r="H20" s="227">
        <f t="shared" si="0"/>
        <v>3.4</v>
      </c>
      <c r="I20" s="227">
        <f t="shared" si="1"/>
        <v>3.6</v>
      </c>
      <c r="J20" s="93" t="s">
        <v>557</v>
      </c>
      <c r="K20" s="96" t="s">
        <v>561</v>
      </c>
      <c r="L20" s="427" t="s">
        <v>382</v>
      </c>
      <c r="M20" s="82"/>
    </row>
    <row r="21" spans="2:13" ht="39.950000000000003" customHeight="1">
      <c r="B21" s="76">
        <v>8</v>
      </c>
      <c r="C21" s="77" t="str">
        <f>DataSiswa!B15</f>
        <v>9980817812</v>
      </c>
      <c r="D21" s="78" t="str">
        <f>DataSiswa!C15</f>
        <v>Famella Putriadi</v>
      </c>
      <c r="E21" s="242">
        <v>87</v>
      </c>
      <c r="F21" s="242">
        <v>92</v>
      </c>
      <c r="G21" s="80" t="s">
        <v>334</v>
      </c>
      <c r="H21" s="227">
        <f t="shared" si="0"/>
        <v>3.48</v>
      </c>
      <c r="I21" s="227">
        <f t="shared" si="1"/>
        <v>3.68</v>
      </c>
      <c r="J21" s="93" t="s">
        <v>557</v>
      </c>
      <c r="K21" s="96" t="s">
        <v>561</v>
      </c>
      <c r="L21" s="427" t="s">
        <v>383</v>
      </c>
      <c r="M21" s="82"/>
    </row>
    <row r="22" spans="2:13" ht="39.950000000000003" customHeight="1">
      <c r="B22" s="76">
        <v>9</v>
      </c>
      <c r="C22" s="77" t="str">
        <f>DataSiswa!B16</f>
        <v>9986349049</v>
      </c>
      <c r="D22" s="78" t="str">
        <f>DataSiswa!C16</f>
        <v>Febrawati Fajlynd</v>
      </c>
      <c r="E22" s="242">
        <v>87</v>
      </c>
      <c r="F22" s="242">
        <v>90</v>
      </c>
      <c r="G22" s="80" t="s">
        <v>24</v>
      </c>
      <c r="H22" s="227">
        <f t="shared" si="0"/>
        <v>3.48</v>
      </c>
      <c r="I22" s="227">
        <f t="shared" si="1"/>
        <v>3.6</v>
      </c>
      <c r="J22" s="93" t="s">
        <v>557</v>
      </c>
      <c r="K22" s="96" t="s">
        <v>561</v>
      </c>
      <c r="L22" s="427" t="s">
        <v>382</v>
      </c>
      <c r="M22" s="82"/>
    </row>
    <row r="23" spans="2:13" ht="39.950000000000003" customHeight="1">
      <c r="B23" s="76">
        <v>10</v>
      </c>
      <c r="C23" s="77" t="str">
        <f>DataSiswa!B17</f>
        <v>9980673410</v>
      </c>
      <c r="D23" s="78" t="str">
        <f>DataSiswa!C17</f>
        <v>Fierro Perdana Ibrahim</v>
      </c>
      <c r="E23" s="242">
        <v>88</v>
      </c>
      <c r="F23" s="242">
        <v>90</v>
      </c>
      <c r="G23" s="80" t="s">
        <v>334</v>
      </c>
      <c r="H23" s="227">
        <f t="shared" si="0"/>
        <v>3.52</v>
      </c>
      <c r="I23" s="227">
        <f t="shared" si="1"/>
        <v>3.6</v>
      </c>
      <c r="J23" s="93" t="s">
        <v>559</v>
      </c>
      <c r="K23" s="96" t="s">
        <v>561</v>
      </c>
      <c r="L23" s="427" t="s">
        <v>383</v>
      </c>
      <c r="M23" s="82"/>
    </row>
    <row r="24" spans="2:13" ht="39.950000000000003" customHeight="1">
      <c r="B24" s="76">
        <v>11</v>
      </c>
      <c r="C24" s="77" t="str">
        <f>DataSiswa!B18</f>
        <v>9980817833</v>
      </c>
      <c r="D24" s="78" t="str">
        <f>DataSiswa!C18</f>
        <v>Jihan Salsabilla</v>
      </c>
      <c r="E24" s="242">
        <v>86</v>
      </c>
      <c r="F24" s="242">
        <v>90</v>
      </c>
      <c r="G24" s="80" t="s">
        <v>334</v>
      </c>
      <c r="H24" s="227">
        <f t="shared" si="0"/>
        <v>3.44</v>
      </c>
      <c r="I24" s="227">
        <f t="shared" si="1"/>
        <v>3.6</v>
      </c>
      <c r="J24" s="93" t="s">
        <v>557</v>
      </c>
      <c r="K24" s="96" t="s">
        <v>562</v>
      </c>
      <c r="L24" s="427" t="s">
        <v>383</v>
      </c>
      <c r="M24" s="82"/>
    </row>
    <row r="25" spans="2:13" ht="39.950000000000003" customHeight="1">
      <c r="B25" s="76">
        <v>12</v>
      </c>
      <c r="C25" s="77" t="str">
        <f>DataSiswa!B19</f>
        <v>9980065874</v>
      </c>
      <c r="D25" s="78" t="str">
        <f>DataSiswa!C19</f>
        <v>Karina Safira Rannas</v>
      </c>
      <c r="E25" s="242">
        <v>88</v>
      </c>
      <c r="F25" s="242">
        <v>92</v>
      </c>
      <c r="G25" s="80" t="s">
        <v>334</v>
      </c>
      <c r="H25" s="227">
        <f t="shared" si="0"/>
        <v>3.52</v>
      </c>
      <c r="I25" s="227">
        <f t="shared" si="1"/>
        <v>3.68</v>
      </c>
      <c r="J25" s="93" t="s">
        <v>557</v>
      </c>
      <c r="K25" s="96" t="s">
        <v>561</v>
      </c>
      <c r="L25" s="427" t="s">
        <v>383</v>
      </c>
      <c r="M25" s="82"/>
    </row>
    <row r="26" spans="2:13" ht="39.950000000000003" customHeight="1">
      <c r="B26" s="76">
        <v>13</v>
      </c>
      <c r="C26" s="77" t="str">
        <f>DataSiswa!B20</f>
        <v>9970816998</v>
      </c>
      <c r="D26" s="78" t="str">
        <f>DataSiswa!C20</f>
        <v>Loura Oktaviola</v>
      </c>
      <c r="E26" s="242">
        <v>87</v>
      </c>
      <c r="F26" s="242">
        <v>90</v>
      </c>
      <c r="G26" s="80" t="s">
        <v>334</v>
      </c>
      <c r="H26" s="227">
        <f t="shared" si="0"/>
        <v>3.48</v>
      </c>
      <c r="I26" s="227">
        <f t="shared" si="1"/>
        <v>3.6</v>
      </c>
      <c r="J26" s="93" t="s">
        <v>557</v>
      </c>
      <c r="K26" s="96" t="s">
        <v>561</v>
      </c>
      <c r="L26" s="426" t="s">
        <v>383</v>
      </c>
      <c r="M26" s="84"/>
    </row>
    <row r="27" spans="2:13" ht="39.950000000000003" customHeight="1">
      <c r="B27" s="76">
        <v>14</v>
      </c>
      <c r="C27" s="77" t="str">
        <f>DataSiswa!B21</f>
        <v>9982095456</v>
      </c>
      <c r="D27" s="78" t="str">
        <f>DataSiswa!C21</f>
        <v>Lauren Dwina Arini</v>
      </c>
      <c r="E27" s="242">
        <v>84</v>
      </c>
      <c r="F27" s="242">
        <v>90</v>
      </c>
      <c r="G27" s="80" t="s">
        <v>24</v>
      </c>
      <c r="H27" s="227">
        <f t="shared" si="0"/>
        <v>3.36</v>
      </c>
      <c r="I27" s="227">
        <f t="shared" si="1"/>
        <v>3.6</v>
      </c>
      <c r="J27" s="93" t="s">
        <v>557</v>
      </c>
      <c r="K27" s="96" t="s">
        <v>561</v>
      </c>
      <c r="L27" s="426" t="s">
        <v>382</v>
      </c>
      <c r="M27" s="85"/>
    </row>
    <row r="28" spans="2:13" ht="39.950000000000003" customHeight="1">
      <c r="B28" s="76">
        <v>15</v>
      </c>
      <c r="C28" s="77" t="str">
        <f>DataSiswa!B22</f>
        <v>9980817839</v>
      </c>
      <c r="D28" s="78" t="str">
        <f>DataSiswa!C22</f>
        <v>Leoni Syagna Velia</v>
      </c>
      <c r="E28" s="242">
        <v>87</v>
      </c>
      <c r="F28" s="242">
        <v>92</v>
      </c>
      <c r="G28" s="79" t="s">
        <v>24</v>
      </c>
      <c r="H28" s="227">
        <f t="shared" si="0"/>
        <v>3.48</v>
      </c>
      <c r="I28" s="227">
        <f t="shared" si="1"/>
        <v>3.68</v>
      </c>
      <c r="J28" s="420" t="s">
        <v>557</v>
      </c>
      <c r="K28" s="425" t="s">
        <v>561</v>
      </c>
      <c r="L28" s="426" t="s">
        <v>382</v>
      </c>
      <c r="M28" s="85"/>
    </row>
    <row r="29" spans="2:13" ht="39.950000000000003" customHeight="1">
      <c r="B29" s="76">
        <v>16</v>
      </c>
      <c r="C29" s="77" t="str">
        <f>DataSiswa!B23</f>
        <v>9982885002</v>
      </c>
      <c r="D29" s="78" t="str">
        <f>DataSiswa!C23</f>
        <v>Mia Larisa Waskito</v>
      </c>
      <c r="E29" s="242">
        <v>86</v>
      </c>
      <c r="F29" s="242">
        <v>92</v>
      </c>
      <c r="G29" s="79" t="s">
        <v>24</v>
      </c>
      <c r="H29" s="227">
        <f t="shared" si="0"/>
        <v>3.44</v>
      </c>
      <c r="I29" s="227">
        <f t="shared" si="1"/>
        <v>3.68</v>
      </c>
      <c r="J29" s="420" t="s">
        <v>557</v>
      </c>
      <c r="K29" s="425" t="s">
        <v>561</v>
      </c>
      <c r="L29" s="426" t="s">
        <v>382</v>
      </c>
      <c r="M29" s="85"/>
    </row>
    <row r="30" spans="2:13" ht="39.950000000000003" customHeight="1">
      <c r="B30" s="76">
        <v>17</v>
      </c>
      <c r="C30" s="77" t="str">
        <f>DataSiswa!B24</f>
        <v>9983996707</v>
      </c>
      <c r="D30" s="78" t="str">
        <f>DataSiswa!C24</f>
        <v>Muhammad Fadel</v>
      </c>
      <c r="E30" s="242">
        <v>88</v>
      </c>
      <c r="F30" s="242">
        <v>92</v>
      </c>
      <c r="G30" s="79" t="s">
        <v>334</v>
      </c>
      <c r="H30" s="227">
        <f t="shared" si="0"/>
        <v>3.52</v>
      </c>
      <c r="I30" s="227">
        <f t="shared" si="1"/>
        <v>3.68</v>
      </c>
      <c r="J30" s="420" t="s">
        <v>558</v>
      </c>
      <c r="K30" s="425" t="s">
        <v>561</v>
      </c>
      <c r="L30" s="426" t="s">
        <v>383</v>
      </c>
      <c r="M30" s="85"/>
    </row>
    <row r="31" spans="2:13" ht="39.950000000000003" customHeight="1">
      <c r="B31" s="76">
        <v>18</v>
      </c>
      <c r="C31" s="77" t="str">
        <f>DataSiswa!B25</f>
        <v>9981328630</v>
      </c>
      <c r="D31" s="78" t="str">
        <f>DataSiswa!C25</f>
        <v>Muhammad Ilham Fajri</v>
      </c>
      <c r="E31" s="242">
        <v>85</v>
      </c>
      <c r="F31" s="242">
        <v>90</v>
      </c>
      <c r="G31" s="79" t="s">
        <v>334</v>
      </c>
      <c r="H31" s="227">
        <f t="shared" si="0"/>
        <v>3.4</v>
      </c>
      <c r="I31" s="227">
        <f t="shared" si="1"/>
        <v>3.6</v>
      </c>
      <c r="J31" s="420" t="s">
        <v>557</v>
      </c>
      <c r="K31" s="425" t="s">
        <v>561</v>
      </c>
      <c r="L31" s="426" t="s">
        <v>383</v>
      </c>
      <c r="M31" s="85"/>
    </row>
    <row r="32" spans="2:13" ht="39.950000000000003" customHeight="1">
      <c r="B32" s="76">
        <v>19</v>
      </c>
      <c r="C32" s="77" t="str">
        <f>DataSiswa!B26</f>
        <v>9980830799</v>
      </c>
      <c r="D32" s="78" t="str">
        <f>DataSiswa!C26</f>
        <v>Muhammad Irfan</v>
      </c>
      <c r="E32" s="242">
        <v>87</v>
      </c>
      <c r="F32" s="242">
        <v>92</v>
      </c>
      <c r="G32" s="79" t="s">
        <v>334</v>
      </c>
      <c r="H32" s="227">
        <f t="shared" si="0"/>
        <v>3.48</v>
      </c>
      <c r="I32" s="227">
        <f t="shared" si="1"/>
        <v>3.68</v>
      </c>
      <c r="J32" s="420" t="s">
        <v>557</v>
      </c>
      <c r="K32" s="425" t="s">
        <v>561</v>
      </c>
      <c r="L32" s="426" t="s">
        <v>384</v>
      </c>
      <c r="M32" s="85"/>
    </row>
    <row r="33" spans="2:13" ht="39.950000000000003" customHeight="1">
      <c r="B33" s="76">
        <v>20</v>
      </c>
      <c r="C33" s="77" t="str">
        <f>DataSiswa!B27</f>
        <v>9981704177</v>
      </c>
      <c r="D33" s="78" t="str">
        <f>DataSiswa!C27</f>
        <v>Naura Cantika</v>
      </c>
      <c r="E33" s="242">
        <v>87</v>
      </c>
      <c r="F33" s="242">
        <v>92</v>
      </c>
      <c r="G33" s="79" t="s">
        <v>24</v>
      </c>
      <c r="H33" s="227">
        <f t="shared" si="0"/>
        <v>3.48</v>
      </c>
      <c r="I33" s="227">
        <f t="shared" si="1"/>
        <v>3.68</v>
      </c>
      <c r="J33" s="420" t="s">
        <v>557</v>
      </c>
      <c r="K33" s="425" t="s">
        <v>561</v>
      </c>
      <c r="L33" s="426" t="s">
        <v>382</v>
      </c>
      <c r="M33" s="85"/>
    </row>
    <row r="34" spans="2:13" ht="39.950000000000003" customHeight="1">
      <c r="B34" s="76">
        <v>21</v>
      </c>
      <c r="C34" s="77" t="str">
        <f>DataSiswa!B28</f>
        <v>9980810523</v>
      </c>
      <c r="D34" s="78" t="str">
        <f>DataSiswa!C28</f>
        <v>Nurul Putri Salsabila</v>
      </c>
      <c r="E34" s="242">
        <v>88</v>
      </c>
      <c r="F34" s="242">
        <v>90</v>
      </c>
      <c r="G34" s="79" t="s">
        <v>24</v>
      </c>
      <c r="H34" s="227">
        <f t="shared" si="0"/>
        <v>3.52</v>
      </c>
      <c r="I34" s="227">
        <f t="shared" si="1"/>
        <v>3.6</v>
      </c>
      <c r="J34" s="420" t="s">
        <v>558</v>
      </c>
      <c r="K34" s="425" t="s">
        <v>561</v>
      </c>
      <c r="L34" s="426" t="s">
        <v>382</v>
      </c>
      <c r="M34" s="85"/>
    </row>
    <row r="35" spans="2:13" ht="39.950000000000003" customHeight="1">
      <c r="B35" s="76">
        <v>22</v>
      </c>
      <c r="C35" s="77" t="str">
        <f>DataSiswa!B29</f>
        <v>9998982066</v>
      </c>
      <c r="D35" s="78" t="str">
        <f>DataSiswa!C29</f>
        <v>Rafi Fikriya Riza</v>
      </c>
      <c r="E35" s="242">
        <v>88</v>
      </c>
      <c r="F35" s="242">
        <v>90</v>
      </c>
      <c r="G35" s="79" t="s">
        <v>24</v>
      </c>
      <c r="H35" s="227">
        <f t="shared" si="0"/>
        <v>3.52</v>
      </c>
      <c r="I35" s="227">
        <f t="shared" si="1"/>
        <v>3.6</v>
      </c>
      <c r="J35" s="420" t="s">
        <v>558</v>
      </c>
      <c r="K35" s="425" t="s">
        <v>561</v>
      </c>
      <c r="L35" s="426" t="s">
        <v>382</v>
      </c>
      <c r="M35" s="85"/>
    </row>
    <row r="36" spans="2:13" ht="39.950000000000003" customHeight="1">
      <c r="B36" s="76">
        <v>23</v>
      </c>
      <c r="C36" s="77" t="str">
        <f>DataSiswa!B30</f>
        <v>9985967994</v>
      </c>
      <c r="D36" s="78" t="str">
        <f>DataSiswa!C30</f>
        <v>Restu Tria Bahri</v>
      </c>
      <c r="E36" s="242">
        <v>87</v>
      </c>
      <c r="F36" s="242">
        <v>92</v>
      </c>
      <c r="G36" s="79" t="s">
        <v>334</v>
      </c>
      <c r="H36" s="227">
        <f t="shared" si="0"/>
        <v>3.48</v>
      </c>
      <c r="I36" s="227">
        <f t="shared" si="1"/>
        <v>3.68</v>
      </c>
      <c r="J36" s="420" t="s">
        <v>560</v>
      </c>
      <c r="K36" s="425" t="s">
        <v>561</v>
      </c>
      <c r="L36" s="426" t="s">
        <v>383</v>
      </c>
      <c r="M36" s="85"/>
    </row>
    <row r="37" spans="2:13" ht="39.950000000000003" customHeight="1">
      <c r="B37" s="76">
        <v>24</v>
      </c>
      <c r="C37" s="77" t="str">
        <f>DataSiswa!B31</f>
        <v>9980799351</v>
      </c>
      <c r="D37" s="78" t="str">
        <f>DataSiswa!C31</f>
        <v>Rifka Esofita</v>
      </c>
      <c r="E37" s="242">
        <v>86</v>
      </c>
      <c r="F37" s="242">
        <v>92</v>
      </c>
      <c r="G37" s="79" t="s">
        <v>334</v>
      </c>
      <c r="H37" s="227">
        <f t="shared" si="0"/>
        <v>3.44</v>
      </c>
      <c r="I37" s="227">
        <f t="shared" si="1"/>
        <v>3.68</v>
      </c>
      <c r="J37" s="420" t="s">
        <v>557</v>
      </c>
      <c r="K37" s="425" t="s">
        <v>561</v>
      </c>
      <c r="L37" s="426" t="s">
        <v>383</v>
      </c>
      <c r="M37" s="85"/>
    </row>
    <row r="38" spans="2:13" ht="39.950000000000003" customHeight="1">
      <c r="B38" s="76">
        <v>25</v>
      </c>
      <c r="C38" s="77" t="str">
        <f>DataSiswa!B32</f>
        <v>9982095495</v>
      </c>
      <c r="D38" s="78" t="str">
        <f>DataSiswa!C32</f>
        <v>Rifo Ranofan</v>
      </c>
      <c r="E38" s="242">
        <v>88</v>
      </c>
      <c r="F38" s="242">
        <v>90</v>
      </c>
      <c r="G38" s="79" t="s">
        <v>24</v>
      </c>
      <c r="H38" s="227">
        <f t="shared" si="0"/>
        <v>3.52</v>
      </c>
      <c r="I38" s="227">
        <f t="shared" si="1"/>
        <v>3.6</v>
      </c>
      <c r="J38" s="420" t="s">
        <v>557</v>
      </c>
      <c r="K38" s="425" t="s">
        <v>561</v>
      </c>
      <c r="L38" s="426" t="s">
        <v>382</v>
      </c>
      <c r="M38" s="85"/>
    </row>
    <row r="39" spans="2:13" ht="39.950000000000003" customHeight="1">
      <c r="B39" s="76">
        <v>26</v>
      </c>
      <c r="C39" s="77" t="str">
        <f>DataSiswa!B33</f>
        <v>9985858026</v>
      </c>
      <c r="D39" s="78" t="str">
        <f>DataSiswa!C33</f>
        <v>Stephany Widyanti</v>
      </c>
      <c r="E39" s="242">
        <v>89</v>
      </c>
      <c r="F39" s="79">
        <v>90</v>
      </c>
      <c r="G39" s="86" t="s">
        <v>334</v>
      </c>
      <c r="H39" s="227">
        <f t="shared" si="0"/>
        <v>3.56</v>
      </c>
      <c r="I39" s="227">
        <f t="shared" si="1"/>
        <v>3.6</v>
      </c>
      <c r="J39" s="420" t="s">
        <v>558</v>
      </c>
      <c r="K39" s="425" t="s">
        <v>561</v>
      </c>
      <c r="L39" s="426" t="s">
        <v>383</v>
      </c>
      <c r="M39" s="85"/>
    </row>
    <row r="40" spans="2:13" ht="39.950000000000003" customHeight="1">
      <c r="B40" s="76">
        <v>27</v>
      </c>
      <c r="C40" s="77" t="str">
        <f>DataSiswa!B34</f>
        <v>9980818512</v>
      </c>
      <c r="D40" s="78" t="str">
        <f>DataSiswa!C34</f>
        <v>Tiara Yulianti</v>
      </c>
      <c r="E40" s="242">
        <v>90</v>
      </c>
      <c r="F40" s="79">
        <v>92</v>
      </c>
      <c r="G40" s="86" t="s">
        <v>24</v>
      </c>
      <c r="H40" s="227">
        <f t="shared" si="0"/>
        <v>3.6</v>
      </c>
      <c r="I40" s="227">
        <f t="shared" si="1"/>
        <v>3.68</v>
      </c>
      <c r="J40" s="420" t="s">
        <v>558</v>
      </c>
      <c r="K40" s="425" t="s">
        <v>561</v>
      </c>
      <c r="L40" s="426" t="s">
        <v>382</v>
      </c>
      <c r="M40" s="85"/>
    </row>
    <row r="41" spans="2:13" ht="39.950000000000003" customHeight="1">
      <c r="B41" s="76">
        <v>28</v>
      </c>
      <c r="C41" s="77" t="str">
        <f>DataSiswa!B35</f>
        <v>9982393794</v>
      </c>
      <c r="D41" s="78" t="str">
        <f>DataSiswa!C35</f>
        <v>Tika Wandira</v>
      </c>
      <c r="E41" s="242">
        <v>87</v>
      </c>
      <c r="F41" s="79">
        <v>90</v>
      </c>
      <c r="G41" s="86" t="s">
        <v>24</v>
      </c>
      <c r="H41" s="227">
        <f t="shared" si="0"/>
        <v>3.48</v>
      </c>
      <c r="I41" s="227">
        <f t="shared" si="1"/>
        <v>3.6</v>
      </c>
      <c r="J41" s="420" t="s">
        <v>557</v>
      </c>
      <c r="K41" s="425" t="s">
        <v>561</v>
      </c>
      <c r="L41" s="426" t="s">
        <v>382</v>
      </c>
      <c r="M41" s="85"/>
    </row>
    <row r="42" spans="2:13" ht="39.950000000000003" customHeight="1">
      <c r="B42" s="76">
        <v>29</v>
      </c>
      <c r="C42" s="77" t="str">
        <f>DataSiswa!B36</f>
        <v>9980818720</v>
      </c>
      <c r="D42" s="78" t="str">
        <f>DataSiswa!C36</f>
        <v>Ulfa Febriyani</v>
      </c>
      <c r="E42" s="242">
        <v>86</v>
      </c>
      <c r="F42" s="79">
        <v>90</v>
      </c>
      <c r="G42" s="86" t="s">
        <v>334</v>
      </c>
      <c r="H42" s="227">
        <f t="shared" si="0"/>
        <v>3.44</v>
      </c>
      <c r="I42" s="227">
        <f t="shared" si="1"/>
        <v>3.6</v>
      </c>
      <c r="J42" s="420" t="s">
        <v>557</v>
      </c>
      <c r="K42" s="425" t="s">
        <v>561</v>
      </c>
      <c r="L42" s="426" t="s">
        <v>383</v>
      </c>
      <c r="M42" s="85"/>
    </row>
    <row r="43" spans="2:13" ht="39.950000000000003" customHeight="1">
      <c r="B43" s="76">
        <v>30</v>
      </c>
      <c r="C43" s="77" t="str">
        <f>DataSiswa!B37</f>
        <v>9990756408</v>
      </c>
      <c r="D43" s="78" t="str">
        <f>DataSiswa!C37</f>
        <v>Valdy Filando Sardi</v>
      </c>
      <c r="E43" s="242">
        <v>88</v>
      </c>
      <c r="F43" s="79">
        <v>90</v>
      </c>
      <c r="G43" s="86" t="s">
        <v>24</v>
      </c>
      <c r="H43" s="227">
        <f t="shared" si="0"/>
        <v>3.52</v>
      </c>
      <c r="I43" s="227">
        <f t="shared" si="1"/>
        <v>3.6</v>
      </c>
      <c r="J43" s="420" t="s">
        <v>558</v>
      </c>
      <c r="K43" s="425" t="s">
        <v>561</v>
      </c>
      <c r="L43" s="426" t="s">
        <v>382</v>
      </c>
      <c r="M43" s="85"/>
    </row>
    <row r="44" spans="2:13" ht="39.950000000000003" customHeight="1">
      <c r="B44" s="76">
        <v>31</v>
      </c>
      <c r="C44" s="77" t="str">
        <f>DataSiswa!B38</f>
        <v>9980816670</v>
      </c>
      <c r="D44" s="78" t="str">
        <f>DataSiswa!C38</f>
        <v>Vonny Maitaveri</v>
      </c>
      <c r="E44" s="242">
        <v>89</v>
      </c>
      <c r="F44" s="79">
        <v>90</v>
      </c>
      <c r="G44" s="86" t="s">
        <v>334</v>
      </c>
      <c r="H44" s="227">
        <f t="shared" si="0"/>
        <v>3.56</v>
      </c>
      <c r="I44" s="227">
        <f t="shared" si="1"/>
        <v>3.6</v>
      </c>
      <c r="J44" s="420" t="s">
        <v>558</v>
      </c>
      <c r="K44" s="425" t="s">
        <v>561</v>
      </c>
      <c r="L44" s="426" t="s">
        <v>383</v>
      </c>
      <c r="M44" s="85"/>
    </row>
    <row r="45" spans="2:13" ht="39.950000000000003" customHeight="1">
      <c r="B45" s="76">
        <v>32</v>
      </c>
      <c r="C45" s="77" t="str">
        <f>DataSiswa!B39</f>
        <v>9982889268</v>
      </c>
      <c r="D45" s="78" t="str">
        <f>DataSiswa!C39</f>
        <v>Wahyu Yolanda</v>
      </c>
      <c r="E45" s="242">
        <v>89</v>
      </c>
      <c r="F45" s="79">
        <v>90</v>
      </c>
      <c r="G45" s="86" t="s">
        <v>334</v>
      </c>
      <c r="H45" s="227">
        <f t="shared" si="0"/>
        <v>3.56</v>
      </c>
      <c r="I45" s="227">
        <f t="shared" si="1"/>
        <v>3.6</v>
      </c>
      <c r="J45" s="420" t="s">
        <v>558</v>
      </c>
      <c r="K45" s="425" t="s">
        <v>561</v>
      </c>
      <c r="L45" s="426" t="s">
        <v>542</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pageSetup orientation="portrait" horizontalDpi="4294967293"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70C0"/>
  </sheetPr>
  <dimension ref="B1:M54"/>
  <sheetViews>
    <sheetView topLeftCell="A45"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DataGuru!C30</f>
        <v>Matematika</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DataGuru!D30</f>
        <v>Dra. Edvirianis</v>
      </c>
      <c r="F9" s="566">
        <f>DataGuru!E30</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50.1" customHeight="1">
      <c r="B14" s="76">
        <v>1</v>
      </c>
      <c r="C14" s="77" t="str">
        <f>DataSiswa!B8</f>
        <v>9986980442</v>
      </c>
      <c r="D14" s="78" t="str">
        <f>DataSiswa!C8</f>
        <v>Aditya Taufik Sastra</v>
      </c>
      <c r="E14" s="242">
        <v>85</v>
      </c>
      <c r="F14" s="79">
        <v>82</v>
      </c>
      <c r="G14" s="236" t="s">
        <v>24</v>
      </c>
      <c r="H14" s="227">
        <f>(E14/100)*4</f>
        <v>3.4</v>
      </c>
      <c r="I14" s="227">
        <f>(F14/100)*4</f>
        <v>3.28</v>
      </c>
      <c r="J14" s="93" t="s">
        <v>585</v>
      </c>
      <c r="K14" s="96" t="s">
        <v>588</v>
      </c>
      <c r="L14" s="238" t="s">
        <v>382</v>
      </c>
      <c r="M14" s="81"/>
    </row>
    <row r="15" spans="2:13" ht="50.1" customHeight="1">
      <c r="B15" s="76">
        <v>2</v>
      </c>
      <c r="C15" s="77" t="str">
        <f>DataSiswa!B9</f>
        <v>9982907972</v>
      </c>
      <c r="D15" s="78" t="str">
        <f>DataSiswa!C9</f>
        <v>Angger Ghufron Pangestu</v>
      </c>
      <c r="E15" s="242">
        <v>82</v>
      </c>
      <c r="F15" s="79">
        <v>80</v>
      </c>
      <c r="G15" s="236" t="s">
        <v>24</v>
      </c>
      <c r="H15" s="227">
        <f t="shared" ref="H15:H53" si="0">(E15/100)*4</f>
        <v>3.28</v>
      </c>
      <c r="I15" s="227">
        <f t="shared" ref="I15:I53" si="1">(F15/100)*4</f>
        <v>3.2</v>
      </c>
      <c r="J15" s="93" t="s">
        <v>585</v>
      </c>
      <c r="K15" s="96" t="s">
        <v>588</v>
      </c>
      <c r="L15" s="238" t="s">
        <v>382</v>
      </c>
      <c r="M15" s="82"/>
    </row>
    <row r="16" spans="2:13" ht="50.1" customHeight="1">
      <c r="B16" s="76">
        <v>3</v>
      </c>
      <c r="C16" s="77" t="str">
        <f>DataSiswa!B10</f>
        <v>9983601594</v>
      </c>
      <c r="D16" s="78" t="str">
        <f>DataSiswa!C10</f>
        <v>Anjellia Novia Safitri</v>
      </c>
      <c r="E16" s="242">
        <v>82</v>
      </c>
      <c r="F16" s="79">
        <v>80</v>
      </c>
      <c r="G16" s="236" t="s">
        <v>24</v>
      </c>
      <c r="H16" s="227">
        <f t="shared" si="0"/>
        <v>3.28</v>
      </c>
      <c r="I16" s="227">
        <f t="shared" si="1"/>
        <v>3.2</v>
      </c>
      <c r="J16" s="93" t="s">
        <v>585</v>
      </c>
      <c r="K16" s="96" t="s">
        <v>588</v>
      </c>
      <c r="L16" s="238" t="s">
        <v>382</v>
      </c>
      <c r="M16" s="82"/>
    </row>
    <row r="17" spans="2:13" ht="50.1" customHeight="1">
      <c r="B17" s="76">
        <v>4</v>
      </c>
      <c r="C17" s="77" t="str">
        <f>DataSiswa!B11</f>
        <v>9989091797</v>
      </c>
      <c r="D17" s="78" t="str">
        <f>DataSiswa!C11</f>
        <v>Azis Fahrozi</v>
      </c>
      <c r="E17" s="242">
        <v>82</v>
      </c>
      <c r="F17" s="79">
        <v>79</v>
      </c>
      <c r="G17" s="236" t="s">
        <v>24</v>
      </c>
      <c r="H17" s="227">
        <f t="shared" si="0"/>
        <v>3.28</v>
      </c>
      <c r="I17" s="227">
        <f t="shared" si="1"/>
        <v>3.16</v>
      </c>
      <c r="J17" s="93" t="s">
        <v>585</v>
      </c>
      <c r="K17" s="96" t="s">
        <v>588</v>
      </c>
      <c r="L17" s="238" t="s">
        <v>382</v>
      </c>
      <c r="M17" s="82"/>
    </row>
    <row r="18" spans="2:13" ht="50.1" customHeight="1">
      <c r="B18" s="76">
        <v>5</v>
      </c>
      <c r="C18" s="77" t="str">
        <f>DataSiswa!B12</f>
        <v>9989983501</v>
      </c>
      <c r="D18" s="78" t="str">
        <f>DataSiswa!C12</f>
        <v>Berliana Monica</v>
      </c>
      <c r="E18" s="242">
        <v>85</v>
      </c>
      <c r="F18" s="79">
        <v>84</v>
      </c>
      <c r="G18" s="236" t="s">
        <v>24</v>
      </c>
      <c r="H18" s="227">
        <f t="shared" si="0"/>
        <v>3.4</v>
      </c>
      <c r="I18" s="227">
        <f t="shared" si="1"/>
        <v>3.36</v>
      </c>
      <c r="J18" s="93" t="s">
        <v>585</v>
      </c>
      <c r="K18" s="96" t="s">
        <v>588</v>
      </c>
      <c r="L18" s="238" t="s">
        <v>382</v>
      </c>
      <c r="M18" s="82"/>
    </row>
    <row r="19" spans="2:13" ht="50.1" customHeight="1">
      <c r="B19" s="76">
        <v>6</v>
      </c>
      <c r="C19" s="77" t="str">
        <f>DataSiswa!B13</f>
        <v>9970817548</v>
      </c>
      <c r="D19" s="78" t="str">
        <f>DataSiswa!C13</f>
        <v>Defri Nofriadi</v>
      </c>
      <c r="E19" s="242">
        <v>86</v>
      </c>
      <c r="F19" s="79">
        <v>84</v>
      </c>
      <c r="G19" s="236" t="s">
        <v>24</v>
      </c>
      <c r="H19" s="227">
        <f t="shared" si="0"/>
        <v>3.44</v>
      </c>
      <c r="I19" s="227">
        <f t="shared" si="1"/>
        <v>3.36</v>
      </c>
      <c r="J19" s="93" t="s">
        <v>585</v>
      </c>
      <c r="K19" s="96" t="s">
        <v>588</v>
      </c>
      <c r="L19" s="238" t="s">
        <v>382</v>
      </c>
      <c r="M19" s="82"/>
    </row>
    <row r="20" spans="2:13" ht="50.1" customHeight="1">
      <c r="B20" s="76">
        <v>7</v>
      </c>
      <c r="C20" s="77" t="str">
        <f>DataSiswa!B14</f>
        <v>9980817555</v>
      </c>
      <c r="D20" s="78" t="str">
        <f>DataSiswa!C14</f>
        <v>Dina Mardana Dulas</v>
      </c>
      <c r="E20" s="242">
        <v>83</v>
      </c>
      <c r="F20" s="79">
        <v>82</v>
      </c>
      <c r="G20" s="236" t="s">
        <v>24</v>
      </c>
      <c r="H20" s="227">
        <f t="shared" si="0"/>
        <v>3.32</v>
      </c>
      <c r="I20" s="227">
        <f t="shared" si="1"/>
        <v>3.28</v>
      </c>
      <c r="J20" s="93" t="s">
        <v>585</v>
      </c>
      <c r="K20" s="96" t="s">
        <v>588</v>
      </c>
      <c r="L20" s="238" t="s">
        <v>382</v>
      </c>
      <c r="M20" s="82"/>
    </row>
    <row r="21" spans="2:13" ht="50.1" customHeight="1">
      <c r="B21" s="76">
        <v>8</v>
      </c>
      <c r="C21" s="77" t="str">
        <f>DataSiswa!B15</f>
        <v>9980817812</v>
      </c>
      <c r="D21" s="78" t="str">
        <f>DataSiswa!C15</f>
        <v>Famella Putriadi</v>
      </c>
      <c r="E21" s="242">
        <v>82</v>
      </c>
      <c r="F21" s="79">
        <v>82</v>
      </c>
      <c r="G21" s="236" t="s">
        <v>24</v>
      </c>
      <c r="H21" s="227">
        <f t="shared" si="0"/>
        <v>3.28</v>
      </c>
      <c r="I21" s="227">
        <f t="shared" si="1"/>
        <v>3.28</v>
      </c>
      <c r="J21" s="93" t="s">
        <v>585</v>
      </c>
      <c r="K21" s="96" t="s">
        <v>588</v>
      </c>
      <c r="L21" s="238" t="s">
        <v>382</v>
      </c>
      <c r="M21" s="82"/>
    </row>
    <row r="22" spans="2:13" ht="50.1" customHeight="1">
      <c r="B22" s="76">
        <v>9</v>
      </c>
      <c r="C22" s="77" t="str">
        <f>DataSiswa!B16</f>
        <v>9986349049</v>
      </c>
      <c r="D22" s="78" t="str">
        <f>DataSiswa!C16</f>
        <v>Febrawati Fajlynd</v>
      </c>
      <c r="E22" s="242">
        <v>85</v>
      </c>
      <c r="F22" s="79">
        <v>82</v>
      </c>
      <c r="G22" s="236" t="s">
        <v>24</v>
      </c>
      <c r="H22" s="227">
        <f t="shared" si="0"/>
        <v>3.4</v>
      </c>
      <c r="I22" s="227">
        <f t="shared" si="1"/>
        <v>3.28</v>
      </c>
      <c r="J22" s="93" t="s">
        <v>585</v>
      </c>
      <c r="K22" s="96" t="s">
        <v>588</v>
      </c>
      <c r="L22" s="238" t="s">
        <v>382</v>
      </c>
      <c r="M22" s="82"/>
    </row>
    <row r="23" spans="2:13" ht="39.950000000000003" customHeight="1">
      <c r="B23" s="76">
        <v>10</v>
      </c>
      <c r="C23" s="77" t="str">
        <f>DataSiswa!B17</f>
        <v>9980673410</v>
      </c>
      <c r="D23" s="78" t="str">
        <f>DataSiswa!C17</f>
        <v>Fierro Perdana Ibrahim</v>
      </c>
      <c r="E23" s="242">
        <v>82</v>
      </c>
      <c r="F23" s="79">
        <v>79</v>
      </c>
      <c r="G23" s="236" t="s">
        <v>24</v>
      </c>
      <c r="H23" s="227">
        <f t="shared" si="0"/>
        <v>3.28</v>
      </c>
      <c r="I23" s="227">
        <f t="shared" si="1"/>
        <v>3.16</v>
      </c>
      <c r="J23" s="93" t="s">
        <v>586</v>
      </c>
      <c r="K23" s="96" t="s">
        <v>588</v>
      </c>
      <c r="L23" s="238" t="s">
        <v>382</v>
      </c>
      <c r="M23" s="82"/>
    </row>
    <row r="24" spans="2:13" ht="50.1" customHeight="1">
      <c r="B24" s="76">
        <v>11</v>
      </c>
      <c r="C24" s="77" t="str">
        <f>DataSiswa!B18</f>
        <v>9980817833</v>
      </c>
      <c r="D24" s="78" t="str">
        <f>DataSiswa!C18</f>
        <v>Jihan Salsabilla</v>
      </c>
      <c r="E24" s="242">
        <v>87</v>
      </c>
      <c r="F24" s="79">
        <v>86</v>
      </c>
      <c r="G24" s="236" t="s">
        <v>24</v>
      </c>
      <c r="H24" s="227">
        <f t="shared" si="0"/>
        <v>3.48</v>
      </c>
      <c r="I24" s="227">
        <f t="shared" si="1"/>
        <v>3.44</v>
      </c>
      <c r="J24" s="93" t="s">
        <v>585</v>
      </c>
      <c r="K24" s="96" t="s">
        <v>589</v>
      </c>
      <c r="L24" s="238" t="s">
        <v>382</v>
      </c>
      <c r="M24" s="82"/>
    </row>
    <row r="25" spans="2:13" ht="50.1" customHeight="1">
      <c r="B25" s="76">
        <v>12</v>
      </c>
      <c r="C25" s="77" t="str">
        <f>DataSiswa!B19</f>
        <v>9980065874</v>
      </c>
      <c r="D25" s="78" t="str">
        <f>DataSiswa!C19</f>
        <v>Karina Safira Rannas</v>
      </c>
      <c r="E25" s="242">
        <v>82</v>
      </c>
      <c r="F25" s="79">
        <v>82</v>
      </c>
      <c r="G25" s="236" t="s">
        <v>24</v>
      </c>
      <c r="H25" s="227">
        <f t="shared" si="0"/>
        <v>3.28</v>
      </c>
      <c r="I25" s="227">
        <f t="shared" si="1"/>
        <v>3.28</v>
      </c>
      <c r="J25" s="93" t="s">
        <v>585</v>
      </c>
      <c r="K25" s="96" t="s">
        <v>588</v>
      </c>
      <c r="L25" s="238" t="s">
        <v>382</v>
      </c>
      <c r="M25" s="82"/>
    </row>
    <row r="26" spans="2:13" ht="50.1" customHeight="1">
      <c r="B26" s="76">
        <v>13</v>
      </c>
      <c r="C26" s="77" t="str">
        <f>DataSiswa!B20</f>
        <v>9970816998</v>
      </c>
      <c r="D26" s="78" t="str">
        <f>DataSiswa!C20</f>
        <v>Loura Oktaviola</v>
      </c>
      <c r="E26" s="242">
        <v>84</v>
      </c>
      <c r="F26" s="79">
        <v>83</v>
      </c>
      <c r="G26" s="236" t="s">
        <v>24</v>
      </c>
      <c r="H26" s="227">
        <f t="shared" si="0"/>
        <v>3.36</v>
      </c>
      <c r="I26" s="227">
        <f t="shared" si="1"/>
        <v>3.32</v>
      </c>
      <c r="J26" s="93" t="s">
        <v>585</v>
      </c>
      <c r="K26" s="96" t="s">
        <v>588</v>
      </c>
      <c r="L26" s="428" t="s">
        <v>382</v>
      </c>
      <c r="M26" s="84"/>
    </row>
    <row r="27" spans="2:13" ht="50.1" customHeight="1">
      <c r="B27" s="76">
        <v>14</v>
      </c>
      <c r="C27" s="77" t="str">
        <f>DataSiswa!B21</f>
        <v>9982095456</v>
      </c>
      <c r="D27" s="78" t="str">
        <f>DataSiswa!C21</f>
        <v>Lauren Dwina Arini</v>
      </c>
      <c r="E27" s="242">
        <v>82</v>
      </c>
      <c r="F27" s="79">
        <v>82</v>
      </c>
      <c r="G27" s="236" t="s">
        <v>24</v>
      </c>
      <c r="H27" s="227">
        <f t="shared" si="0"/>
        <v>3.28</v>
      </c>
      <c r="I27" s="227">
        <f t="shared" si="1"/>
        <v>3.28</v>
      </c>
      <c r="J27" s="93" t="s">
        <v>585</v>
      </c>
      <c r="K27" s="96" t="s">
        <v>588</v>
      </c>
      <c r="L27" s="428" t="s">
        <v>382</v>
      </c>
      <c r="M27" s="85"/>
    </row>
    <row r="28" spans="2:13" ht="50.1" customHeight="1">
      <c r="B28" s="76">
        <v>15</v>
      </c>
      <c r="C28" s="77" t="str">
        <f>DataSiswa!B22</f>
        <v>9980817839</v>
      </c>
      <c r="D28" s="78" t="str">
        <f>DataSiswa!C22</f>
        <v>Leoni Syagna Velia</v>
      </c>
      <c r="E28" s="242">
        <v>89</v>
      </c>
      <c r="F28" s="79">
        <v>88</v>
      </c>
      <c r="G28" s="237" t="s">
        <v>334</v>
      </c>
      <c r="H28" s="227">
        <f t="shared" si="0"/>
        <v>3.56</v>
      </c>
      <c r="I28" s="227">
        <f t="shared" si="1"/>
        <v>3.52</v>
      </c>
      <c r="J28" s="420" t="s">
        <v>587</v>
      </c>
      <c r="K28" s="424" t="s">
        <v>588</v>
      </c>
      <c r="L28" s="428" t="s">
        <v>383</v>
      </c>
      <c r="M28" s="85"/>
    </row>
    <row r="29" spans="2:13" ht="50.1" customHeight="1">
      <c r="B29" s="76">
        <v>16</v>
      </c>
      <c r="C29" s="77" t="str">
        <f>DataSiswa!B23</f>
        <v>9982885002</v>
      </c>
      <c r="D29" s="78" t="str">
        <f>DataSiswa!C23</f>
        <v>Mia Larisa Waskito</v>
      </c>
      <c r="E29" s="242">
        <v>88</v>
      </c>
      <c r="F29" s="79">
        <v>86</v>
      </c>
      <c r="G29" s="237" t="s">
        <v>24</v>
      </c>
      <c r="H29" s="227">
        <f t="shared" si="0"/>
        <v>3.52</v>
      </c>
      <c r="I29" s="227">
        <f t="shared" si="1"/>
        <v>3.44</v>
      </c>
      <c r="J29" s="420" t="s">
        <v>585</v>
      </c>
      <c r="K29" s="424" t="s">
        <v>588</v>
      </c>
      <c r="L29" s="428" t="s">
        <v>382</v>
      </c>
      <c r="M29" s="85"/>
    </row>
    <row r="30" spans="2:13" ht="50.1" customHeight="1">
      <c r="B30" s="76">
        <v>17</v>
      </c>
      <c r="C30" s="77" t="str">
        <f>DataSiswa!B24</f>
        <v>9983996707</v>
      </c>
      <c r="D30" s="78" t="str">
        <f>DataSiswa!C24</f>
        <v>Muhammad Fadel</v>
      </c>
      <c r="E30" s="242">
        <v>87</v>
      </c>
      <c r="F30" s="79">
        <v>90</v>
      </c>
      <c r="G30" s="237" t="s">
        <v>334</v>
      </c>
      <c r="H30" s="227">
        <f t="shared" si="0"/>
        <v>3.48</v>
      </c>
      <c r="I30" s="227">
        <f t="shared" si="1"/>
        <v>3.6</v>
      </c>
      <c r="J30" s="420" t="s">
        <v>585</v>
      </c>
      <c r="K30" s="424" t="s">
        <v>588</v>
      </c>
      <c r="L30" s="428" t="s">
        <v>383</v>
      </c>
      <c r="M30" s="85"/>
    </row>
    <row r="31" spans="2:13" ht="50.1" customHeight="1">
      <c r="B31" s="76">
        <v>18</v>
      </c>
      <c r="C31" s="77" t="str">
        <f>DataSiswa!B25</f>
        <v>9981328630</v>
      </c>
      <c r="D31" s="78" t="str">
        <f>DataSiswa!C25</f>
        <v>Muhammad Ilham Fajri</v>
      </c>
      <c r="E31" s="242">
        <v>84</v>
      </c>
      <c r="F31" s="79">
        <v>84</v>
      </c>
      <c r="G31" s="237" t="s">
        <v>24</v>
      </c>
      <c r="H31" s="227">
        <f t="shared" si="0"/>
        <v>3.36</v>
      </c>
      <c r="I31" s="227">
        <f t="shared" si="1"/>
        <v>3.36</v>
      </c>
      <c r="J31" s="420" t="s">
        <v>585</v>
      </c>
      <c r="K31" s="424" t="s">
        <v>588</v>
      </c>
      <c r="L31" s="428" t="s">
        <v>382</v>
      </c>
      <c r="M31" s="85"/>
    </row>
    <row r="32" spans="2:13" ht="50.1" customHeight="1">
      <c r="B32" s="76">
        <v>19</v>
      </c>
      <c r="C32" s="77" t="str">
        <f>DataSiswa!B26</f>
        <v>9980830799</v>
      </c>
      <c r="D32" s="78" t="str">
        <f>DataSiswa!C26</f>
        <v>Muhammad Irfan</v>
      </c>
      <c r="E32" s="242">
        <v>92</v>
      </c>
      <c r="F32" s="79">
        <v>90</v>
      </c>
      <c r="G32" s="237" t="s">
        <v>334</v>
      </c>
      <c r="H32" s="227">
        <f t="shared" si="0"/>
        <v>3.68</v>
      </c>
      <c r="I32" s="227">
        <f t="shared" si="1"/>
        <v>3.6</v>
      </c>
      <c r="J32" s="420" t="s">
        <v>587</v>
      </c>
      <c r="K32" s="424" t="s">
        <v>588</v>
      </c>
      <c r="L32" s="428" t="s">
        <v>384</v>
      </c>
      <c r="M32" s="85"/>
    </row>
    <row r="33" spans="2:13" ht="50.1" customHeight="1">
      <c r="B33" s="76">
        <v>20</v>
      </c>
      <c r="C33" s="77" t="str">
        <f>DataSiswa!B27</f>
        <v>9981704177</v>
      </c>
      <c r="D33" s="78" t="str">
        <f>DataSiswa!C27</f>
        <v>Naura Cantika</v>
      </c>
      <c r="E33" s="242">
        <v>86</v>
      </c>
      <c r="F33" s="79">
        <v>86</v>
      </c>
      <c r="G33" s="237" t="s">
        <v>24</v>
      </c>
      <c r="H33" s="227">
        <f t="shared" si="0"/>
        <v>3.44</v>
      </c>
      <c r="I33" s="227">
        <f t="shared" si="1"/>
        <v>3.44</v>
      </c>
      <c r="J33" s="420" t="s">
        <v>585</v>
      </c>
      <c r="K33" s="424" t="s">
        <v>588</v>
      </c>
      <c r="L33" s="428" t="s">
        <v>382</v>
      </c>
      <c r="M33" s="85"/>
    </row>
    <row r="34" spans="2:13" ht="50.1" customHeight="1">
      <c r="B34" s="76">
        <v>21</v>
      </c>
      <c r="C34" s="77" t="str">
        <f>DataSiswa!B28</f>
        <v>9980810523</v>
      </c>
      <c r="D34" s="78" t="str">
        <f>DataSiswa!C28</f>
        <v>Nurul Putri Salsabila</v>
      </c>
      <c r="E34" s="242">
        <v>85</v>
      </c>
      <c r="F34" s="79">
        <v>86</v>
      </c>
      <c r="G34" s="237" t="s">
        <v>24</v>
      </c>
      <c r="H34" s="227">
        <f t="shared" si="0"/>
        <v>3.4</v>
      </c>
      <c r="I34" s="227">
        <f t="shared" si="1"/>
        <v>3.44</v>
      </c>
      <c r="J34" s="420" t="s">
        <v>585</v>
      </c>
      <c r="K34" s="424" t="s">
        <v>588</v>
      </c>
      <c r="L34" s="428" t="s">
        <v>382</v>
      </c>
      <c r="M34" s="85"/>
    </row>
    <row r="35" spans="2:13" ht="50.1" customHeight="1">
      <c r="B35" s="76">
        <v>22</v>
      </c>
      <c r="C35" s="77" t="str">
        <f>DataSiswa!B29</f>
        <v>9998982066</v>
      </c>
      <c r="D35" s="78" t="str">
        <f>DataSiswa!C29</f>
        <v>Rafi Fikriya Riza</v>
      </c>
      <c r="E35" s="242">
        <v>88</v>
      </c>
      <c r="F35" s="79">
        <v>86</v>
      </c>
      <c r="G35" s="237" t="s">
        <v>334</v>
      </c>
      <c r="H35" s="227">
        <f t="shared" si="0"/>
        <v>3.52</v>
      </c>
      <c r="I35" s="227">
        <f t="shared" si="1"/>
        <v>3.44</v>
      </c>
      <c r="J35" s="420" t="s">
        <v>585</v>
      </c>
      <c r="K35" s="424" t="s">
        <v>588</v>
      </c>
      <c r="L35" s="428" t="s">
        <v>383</v>
      </c>
      <c r="M35" s="85"/>
    </row>
    <row r="36" spans="2:13" ht="50.1" customHeight="1">
      <c r="B36" s="76">
        <v>23</v>
      </c>
      <c r="C36" s="77" t="str">
        <f>DataSiswa!B30</f>
        <v>9985967994</v>
      </c>
      <c r="D36" s="78" t="str">
        <f>DataSiswa!C30</f>
        <v>Restu Tria Bahri</v>
      </c>
      <c r="E36" s="242">
        <v>81</v>
      </c>
      <c r="F36" s="79">
        <v>79</v>
      </c>
      <c r="G36" s="237" t="s">
        <v>24</v>
      </c>
      <c r="H36" s="227">
        <f t="shared" si="0"/>
        <v>3.24</v>
      </c>
      <c r="I36" s="227">
        <f t="shared" si="1"/>
        <v>3.16</v>
      </c>
      <c r="J36" s="420" t="s">
        <v>586</v>
      </c>
      <c r="K36" s="424" t="s">
        <v>588</v>
      </c>
      <c r="L36" s="428" t="s">
        <v>382</v>
      </c>
      <c r="M36" s="85"/>
    </row>
    <row r="37" spans="2:13" ht="50.1" customHeight="1">
      <c r="B37" s="76">
        <v>24</v>
      </c>
      <c r="C37" s="77" t="str">
        <f>DataSiswa!B31</f>
        <v>9980799351</v>
      </c>
      <c r="D37" s="78" t="str">
        <f>DataSiswa!C31</f>
        <v>Rifka Esofita</v>
      </c>
      <c r="E37" s="242">
        <v>82</v>
      </c>
      <c r="F37" s="79">
        <v>79</v>
      </c>
      <c r="G37" s="237" t="s">
        <v>24</v>
      </c>
      <c r="H37" s="227">
        <f t="shared" si="0"/>
        <v>3.28</v>
      </c>
      <c r="I37" s="227">
        <f t="shared" si="1"/>
        <v>3.16</v>
      </c>
      <c r="J37" s="420" t="s">
        <v>585</v>
      </c>
      <c r="K37" s="424" t="s">
        <v>588</v>
      </c>
      <c r="L37" s="428" t="s">
        <v>382</v>
      </c>
      <c r="M37" s="85"/>
    </row>
    <row r="38" spans="2:13" ht="50.1" customHeight="1">
      <c r="B38" s="76">
        <v>25</v>
      </c>
      <c r="C38" s="77" t="str">
        <f>DataSiswa!B32</f>
        <v>9982095495</v>
      </c>
      <c r="D38" s="78" t="str">
        <f>DataSiswa!C32</f>
        <v>Rifo Ranofan</v>
      </c>
      <c r="E38" s="242">
        <v>81</v>
      </c>
      <c r="F38" s="79">
        <v>79</v>
      </c>
      <c r="G38" s="237" t="s">
        <v>24</v>
      </c>
      <c r="H38" s="227">
        <f t="shared" si="0"/>
        <v>3.24</v>
      </c>
      <c r="I38" s="227">
        <f t="shared" si="1"/>
        <v>3.16</v>
      </c>
      <c r="J38" s="420" t="s">
        <v>585</v>
      </c>
      <c r="K38" s="424" t="s">
        <v>588</v>
      </c>
      <c r="L38" s="428" t="s">
        <v>382</v>
      </c>
      <c r="M38" s="85"/>
    </row>
    <row r="39" spans="2:13" ht="50.1" customHeight="1">
      <c r="B39" s="76">
        <v>26</v>
      </c>
      <c r="C39" s="77" t="str">
        <f>DataSiswa!B33</f>
        <v>9985858026</v>
      </c>
      <c r="D39" s="78" t="str">
        <f>DataSiswa!C33</f>
        <v>Stephany Widyanti</v>
      </c>
      <c r="E39" s="242">
        <v>86</v>
      </c>
      <c r="F39" s="79">
        <v>84</v>
      </c>
      <c r="G39" s="79" t="s">
        <v>24</v>
      </c>
      <c r="H39" s="227">
        <f t="shared" si="0"/>
        <v>3.44</v>
      </c>
      <c r="I39" s="227">
        <f t="shared" si="1"/>
        <v>3.36</v>
      </c>
      <c r="J39" s="420" t="s">
        <v>585</v>
      </c>
      <c r="K39" s="424" t="s">
        <v>588</v>
      </c>
      <c r="L39" s="428" t="s">
        <v>382</v>
      </c>
      <c r="M39" s="85"/>
    </row>
    <row r="40" spans="2:13" ht="50.1" customHeight="1">
      <c r="B40" s="76">
        <v>27</v>
      </c>
      <c r="C40" s="77" t="str">
        <f>DataSiswa!B34</f>
        <v>9980818512</v>
      </c>
      <c r="D40" s="78" t="str">
        <f>DataSiswa!C34</f>
        <v>Tiara Yulianti</v>
      </c>
      <c r="E40" s="242">
        <v>87</v>
      </c>
      <c r="F40" s="79">
        <v>84</v>
      </c>
      <c r="G40" s="79" t="s">
        <v>24</v>
      </c>
      <c r="H40" s="227">
        <f t="shared" si="0"/>
        <v>3.48</v>
      </c>
      <c r="I40" s="227">
        <f t="shared" si="1"/>
        <v>3.36</v>
      </c>
      <c r="J40" s="420" t="s">
        <v>585</v>
      </c>
      <c r="K40" s="424" t="s">
        <v>588</v>
      </c>
      <c r="L40" s="428" t="s">
        <v>382</v>
      </c>
      <c r="M40" s="85"/>
    </row>
    <row r="41" spans="2:13" ht="50.1" customHeight="1">
      <c r="B41" s="76">
        <v>28</v>
      </c>
      <c r="C41" s="77" t="str">
        <f>DataSiswa!B35</f>
        <v>9982393794</v>
      </c>
      <c r="D41" s="78" t="str">
        <f>DataSiswa!C35</f>
        <v>Tika Wandira</v>
      </c>
      <c r="E41" s="242">
        <v>82</v>
      </c>
      <c r="F41" s="79">
        <v>82</v>
      </c>
      <c r="G41" s="79" t="s">
        <v>24</v>
      </c>
      <c r="H41" s="227">
        <f t="shared" si="0"/>
        <v>3.28</v>
      </c>
      <c r="I41" s="227">
        <f t="shared" si="1"/>
        <v>3.28</v>
      </c>
      <c r="J41" s="420" t="s">
        <v>585</v>
      </c>
      <c r="K41" s="424" t="s">
        <v>588</v>
      </c>
      <c r="L41" s="428" t="s">
        <v>382</v>
      </c>
      <c r="M41" s="85"/>
    </row>
    <row r="42" spans="2:13" ht="50.1" customHeight="1">
      <c r="B42" s="76">
        <v>29</v>
      </c>
      <c r="C42" s="77" t="str">
        <f>DataSiswa!B36</f>
        <v>9980818720</v>
      </c>
      <c r="D42" s="78" t="str">
        <f>DataSiswa!C36</f>
        <v>Ulfa Febriyani</v>
      </c>
      <c r="E42" s="242">
        <v>85</v>
      </c>
      <c r="F42" s="79">
        <v>86</v>
      </c>
      <c r="G42" s="79" t="s">
        <v>24</v>
      </c>
      <c r="H42" s="227">
        <f t="shared" si="0"/>
        <v>3.4</v>
      </c>
      <c r="I42" s="227">
        <f t="shared" si="1"/>
        <v>3.44</v>
      </c>
      <c r="J42" s="420" t="s">
        <v>585</v>
      </c>
      <c r="K42" s="424" t="s">
        <v>588</v>
      </c>
      <c r="L42" s="428" t="s">
        <v>382</v>
      </c>
      <c r="M42" s="85"/>
    </row>
    <row r="43" spans="2:13" ht="50.1" customHeight="1">
      <c r="B43" s="76">
        <v>30</v>
      </c>
      <c r="C43" s="77" t="str">
        <f>DataSiswa!B37</f>
        <v>9990756408</v>
      </c>
      <c r="D43" s="78" t="str">
        <f>DataSiswa!C37</f>
        <v>Valdy Filando Sardi</v>
      </c>
      <c r="E43" s="242">
        <v>87</v>
      </c>
      <c r="F43" s="79">
        <v>84</v>
      </c>
      <c r="G43" s="79" t="s">
        <v>24</v>
      </c>
      <c r="H43" s="227">
        <f t="shared" si="0"/>
        <v>3.48</v>
      </c>
      <c r="I43" s="227">
        <f t="shared" si="1"/>
        <v>3.36</v>
      </c>
      <c r="J43" s="420" t="s">
        <v>585</v>
      </c>
      <c r="K43" s="424" t="s">
        <v>588</v>
      </c>
      <c r="L43" s="428" t="s">
        <v>382</v>
      </c>
      <c r="M43" s="85"/>
    </row>
    <row r="44" spans="2:13" ht="50.1" customHeight="1">
      <c r="B44" s="76">
        <v>31</v>
      </c>
      <c r="C44" s="77" t="str">
        <f>DataSiswa!B38</f>
        <v>9980816670</v>
      </c>
      <c r="D44" s="78" t="str">
        <f>DataSiswa!C38</f>
        <v>Vonny Maitaveri</v>
      </c>
      <c r="E44" s="242">
        <v>84</v>
      </c>
      <c r="F44" s="79">
        <v>86</v>
      </c>
      <c r="G44" s="79" t="s">
        <v>24</v>
      </c>
      <c r="H44" s="227">
        <f t="shared" si="0"/>
        <v>3.36</v>
      </c>
      <c r="I44" s="227">
        <f t="shared" si="1"/>
        <v>3.44</v>
      </c>
      <c r="J44" s="420" t="s">
        <v>585</v>
      </c>
      <c r="K44" s="424" t="s">
        <v>588</v>
      </c>
      <c r="L44" s="428" t="s">
        <v>382</v>
      </c>
      <c r="M44" s="85"/>
    </row>
    <row r="45" spans="2:13" ht="50.1" customHeight="1">
      <c r="B45" s="76">
        <v>32</v>
      </c>
      <c r="C45" s="77" t="str">
        <f>DataSiswa!B39</f>
        <v>9982889268</v>
      </c>
      <c r="D45" s="78" t="str">
        <f>DataSiswa!C39</f>
        <v>Wahyu Yolanda</v>
      </c>
      <c r="E45" s="242">
        <v>86</v>
      </c>
      <c r="F45" s="79">
        <v>86</v>
      </c>
      <c r="G45" s="79" t="s">
        <v>24</v>
      </c>
      <c r="H45" s="227">
        <f t="shared" si="0"/>
        <v>3.44</v>
      </c>
      <c r="I45" s="227">
        <f t="shared" si="1"/>
        <v>3.44</v>
      </c>
      <c r="J45" s="420" t="s">
        <v>585</v>
      </c>
      <c r="K45" s="424" t="s">
        <v>588</v>
      </c>
      <c r="L45" s="428" t="s">
        <v>568</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70C0"/>
  </sheetPr>
  <dimension ref="B1:M54"/>
  <sheetViews>
    <sheetView topLeftCell="A43"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DataGuru!C31</f>
        <v>Biologi</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DataGuru!D31</f>
        <v>Dra. Neng Mulyetti</v>
      </c>
      <c r="F9" s="566">
        <f>DataGuru!E31</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50.1" customHeight="1">
      <c r="B14" s="76">
        <v>1</v>
      </c>
      <c r="C14" s="77" t="str">
        <f>DataSiswa!B8</f>
        <v>9986980442</v>
      </c>
      <c r="D14" s="78" t="str">
        <f>DataSiswa!C8</f>
        <v>Aditya Taufik Sastra</v>
      </c>
      <c r="E14" s="422">
        <v>87</v>
      </c>
      <c r="F14" s="318">
        <v>85</v>
      </c>
      <c r="G14" s="270" t="s">
        <v>24</v>
      </c>
      <c r="H14" s="227">
        <f>(E14/100)*4</f>
        <v>3.48</v>
      </c>
      <c r="I14" s="227">
        <f>(F14/100)*4</f>
        <v>3.4</v>
      </c>
      <c r="J14" s="93" t="s">
        <v>377</v>
      </c>
      <c r="K14" s="96" t="s">
        <v>380</v>
      </c>
      <c r="L14" s="427" t="s">
        <v>382</v>
      </c>
      <c r="M14" s="81"/>
    </row>
    <row r="15" spans="2:13" ht="50.1" customHeight="1">
      <c r="B15" s="76">
        <v>2</v>
      </c>
      <c r="C15" s="77" t="str">
        <f>DataSiswa!B9</f>
        <v>9982907972</v>
      </c>
      <c r="D15" s="78" t="str">
        <f>DataSiswa!C9</f>
        <v>Angger Ghufron Pangestu</v>
      </c>
      <c r="E15" s="423">
        <v>85</v>
      </c>
      <c r="F15" s="318">
        <v>85</v>
      </c>
      <c r="G15" s="270" t="s">
        <v>24</v>
      </c>
      <c r="H15" s="227">
        <f t="shared" ref="H15:H53" si="0">(E15/100)*4</f>
        <v>3.4</v>
      </c>
      <c r="I15" s="227">
        <f t="shared" ref="I15:I53" si="1">(F15/100)*4</f>
        <v>3.4</v>
      </c>
      <c r="J15" s="93" t="s">
        <v>377</v>
      </c>
      <c r="K15" s="96" t="s">
        <v>380</v>
      </c>
      <c r="L15" s="427" t="s">
        <v>382</v>
      </c>
      <c r="M15" s="82"/>
    </row>
    <row r="16" spans="2:13" ht="50.1" customHeight="1">
      <c r="B16" s="76">
        <v>3</v>
      </c>
      <c r="C16" s="77" t="str">
        <f>DataSiswa!B10</f>
        <v>9983601594</v>
      </c>
      <c r="D16" s="78" t="str">
        <f>DataSiswa!C10</f>
        <v>Anjellia Novia Safitri</v>
      </c>
      <c r="E16" s="423">
        <v>88</v>
      </c>
      <c r="F16" s="318">
        <v>86</v>
      </c>
      <c r="G16" s="270" t="s">
        <v>24</v>
      </c>
      <c r="H16" s="227">
        <f t="shared" si="0"/>
        <v>3.52</v>
      </c>
      <c r="I16" s="227">
        <f t="shared" si="1"/>
        <v>3.44</v>
      </c>
      <c r="J16" s="93" t="s">
        <v>377</v>
      </c>
      <c r="K16" s="96" t="s">
        <v>380</v>
      </c>
      <c r="L16" s="427" t="s">
        <v>382</v>
      </c>
      <c r="M16" s="82"/>
    </row>
    <row r="17" spans="2:13" ht="50.1" customHeight="1">
      <c r="B17" s="76">
        <v>4</v>
      </c>
      <c r="C17" s="77" t="str">
        <f>DataSiswa!B11</f>
        <v>9989091797</v>
      </c>
      <c r="D17" s="78" t="str">
        <f>DataSiswa!C11</f>
        <v>Azis Fahrozi</v>
      </c>
      <c r="E17" s="423">
        <v>84</v>
      </c>
      <c r="F17" s="318">
        <v>83</v>
      </c>
      <c r="G17" s="270" t="s">
        <v>24</v>
      </c>
      <c r="H17" s="227">
        <f t="shared" si="0"/>
        <v>3.36</v>
      </c>
      <c r="I17" s="227">
        <f t="shared" si="1"/>
        <v>3.32</v>
      </c>
      <c r="J17" s="93" t="s">
        <v>377</v>
      </c>
      <c r="K17" s="96" t="s">
        <v>380</v>
      </c>
      <c r="L17" s="427" t="s">
        <v>382</v>
      </c>
      <c r="M17" s="82"/>
    </row>
    <row r="18" spans="2:13" ht="50.1" customHeight="1">
      <c r="B18" s="76">
        <v>5</v>
      </c>
      <c r="C18" s="77" t="str">
        <f>DataSiswa!B12</f>
        <v>9989983501</v>
      </c>
      <c r="D18" s="78" t="str">
        <f>DataSiswa!C12</f>
        <v>Berliana Monica</v>
      </c>
      <c r="E18" s="423">
        <v>85</v>
      </c>
      <c r="F18" s="318">
        <v>85</v>
      </c>
      <c r="G18" s="270" t="s">
        <v>24</v>
      </c>
      <c r="H18" s="227">
        <f t="shared" si="0"/>
        <v>3.4</v>
      </c>
      <c r="I18" s="227">
        <f t="shared" si="1"/>
        <v>3.4</v>
      </c>
      <c r="J18" s="93" t="s">
        <v>377</v>
      </c>
      <c r="K18" s="96" t="s">
        <v>380</v>
      </c>
      <c r="L18" s="427" t="s">
        <v>382</v>
      </c>
      <c r="M18" s="82"/>
    </row>
    <row r="19" spans="2:13" ht="50.1" customHeight="1">
      <c r="B19" s="76">
        <v>6</v>
      </c>
      <c r="C19" s="77" t="str">
        <f>DataSiswa!B13</f>
        <v>9970817548</v>
      </c>
      <c r="D19" s="78" t="str">
        <f>DataSiswa!C13</f>
        <v>Defri Nofriadi</v>
      </c>
      <c r="E19" s="422">
        <v>87</v>
      </c>
      <c r="F19" s="318">
        <v>87</v>
      </c>
      <c r="G19" s="270" t="s">
        <v>24</v>
      </c>
      <c r="H19" s="227">
        <f t="shared" si="0"/>
        <v>3.48</v>
      </c>
      <c r="I19" s="227">
        <f t="shared" si="1"/>
        <v>3.48</v>
      </c>
      <c r="J19" s="93" t="s">
        <v>377</v>
      </c>
      <c r="K19" s="96" t="s">
        <v>380</v>
      </c>
      <c r="L19" s="427" t="s">
        <v>382</v>
      </c>
      <c r="M19" s="82"/>
    </row>
    <row r="20" spans="2:13" ht="50.1" customHeight="1">
      <c r="B20" s="76">
        <v>7</v>
      </c>
      <c r="C20" s="77" t="str">
        <f>DataSiswa!B14</f>
        <v>9980817555</v>
      </c>
      <c r="D20" s="78" t="str">
        <f>DataSiswa!C14</f>
        <v>Dina Mardana Dulas</v>
      </c>
      <c r="E20" s="423">
        <v>86</v>
      </c>
      <c r="F20" s="318">
        <v>84</v>
      </c>
      <c r="G20" s="270" t="s">
        <v>24</v>
      </c>
      <c r="H20" s="227">
        <f t="shared" si="0"/>
        <v>3.44</v>
      </c>
      <c r="I20" s="227">
        <f t="shared" si="1"/>
        <v>3.36</v>
      </c>
      <c r="J20" s="93" t="s">
        <v>377</v>
      </c>
      <c r="K20" s="96" t="s">
        <v>380</v>
      </c>
      <c r="L20" s="427" t="s">
        <v>382</v>
      </c>
      <c r="M20" s="82"/>
    </row>
    <row r="21" spans="2:13" ht="50.1" customHeight="1">
      <c r="B21" s="76">
        <v>8</v>
      </c>
      <c r="C21" s="77" t="str">
        <f>DataSiswa!B15</f>
        <v>9980817812</v>
      </c>
      <c r="D21" s="78" t="str">
        <f>DataSiswa!C15</f>
        <v>Famella Putriadi</v>
      </c>
      <c r="E21" s="423">
        <v>87</v>
      </c>
      <c r="F21" s="318">
        <v>85</v>
      </c>
      <c r="G21" s="270" t="s">
        <v>24</v>
      </c>
      <c r="H21" s="227">
        <f t="shared" si="0"/>
        <v>3.48</v>
      </c>
      <c r="I21" s="227">
        <f t="shared" si="1"/>
        <v>3.4</v>
      </c>
      <c r="J21" s="93" t="s">
        <v>377</v>
      </c>
      <c r="K21" s="96" t="s">
        <v>380</v>
      </c>
      <c r="L21" s="427" t="s">
        <v>382</v>
      </c>
      <c r="M21" s="82"/>
    </row>
    <row r="22" spans="2:13" ht="50.1" customHeight="1">
      <c r="B22" s="76">
        <v>9</v>
      </c>
      <c r="C22" s="77" t="str">
        <f>DataSiswa!B16</f>
        <v>9986349049</v>
      </c>
      <c r="D22" s="78" t="str">
        <f>DataSiswa!C16</f>
        <v>Febrawati Fajlynd</v>
      </c>
      <c r="E22" s="423">
        <v>87</v>
      </c>
      <c r="F22" s="318">
        <v>88</v>
      </c>
      <c r="G22" s="270" t="s">
        <v>24</v>
      </c>
      <c r="H22" s="227">
        <f t="shared" si="0"/>
        <v>3.48</v>
      </c>
      <c r="I22" s="227">
        <f t="shared" si="1"/>
        <v>3.52</v>
      </c>
      <c r="J22" s="93" t="s">
        <v>377</v>
      </c>
      <c r="K22" s="96" t="s">
        <v>380</v>
      </c>
      <c r="L22" s="427" t="s">
        <v>382</v>
      </c>
      <c r="M22" s="82"/>
    </row>
    <row r="23" spans="2:13" ht="50.1" customHeight="1">
      <c r="B23" s="76">
        <v>10</v>
      </c>
      <c r="C23" s="77" t="str">
        <f>DataSiswa!B17</f>
        <v>9980673410</v>
      </c>
      <c r="D23" s="78" t="str">
        <f>DataSiswa!C17</f>
        <v>Fierro Perdana Ibrahim</v>
      </c>
      <c r="E23" s="423">
        <v>84</v>
      </c>
      <c r="F23" s="318">
        <v>85</v>
      </c>
      <c r="G23" s="270" t="s">
        <v>24</v>
      </c>
      <c r="H23" s="227">
        <f t="shared" si="0"/>
        <v>3.36</v>
      </c>
      <c r="I23" s="227">
        <f t="shared" si="1"/>
        <v>3.4</v>
      </c>
      <c r="J23" s="93" t="s">
        <v>378</v>
      </c>
      <c r="K23" s="96" t="s">
        <v>380</v>
      </c>
      <c r="L23" s="427" t="s">
        <v>382</v>
      </c>
      <c r="M23" s="82"/>
    </row>
    <row r="24" spans="2:13" ht="50.1" customHeight="1">
      <c r="B24" s="76">
        <v>11</v>
      </c>
      <c r="C24" s="77" t="str">
        <f>DataSiswa!B18</f>
        <v>9980817833</v>
      </c>
      <c r="D24" s="78" t="str">
        <f>DataSiswa!C18</f>
        <v>Jihan Salsabilla</v>
      </c>
      <c r="E24" s="422">
        <v>88</v>
      </c>
      <c r="F24" s="318">
        <v>87</v>
      </c>
      <c r="G24" s="270" t="s">
        <v>24</v>
      </c>
      <c r="H24" s="227">
        <f t="shared" si="0"/>
        <v>3.52</v>
      </c>
      <c r="I24" s="227">
        <f t="shared" si="1"/>
        <v>3.48</v>
      </c>
      <c r="J24" s="93" t="s">
        <v>377</v>
      </c>
      <c r="K24" s="96" t="s">
        <v>381</v>
      </c>
      <c r="L24" s="427" t="s">
        <v>382</v>
      </c>
      <c r="M24" s="82"/>
    </row>
    <row r="25" spans="2:13" ht="50.1" customHeight="1">
      <c r="B25" s="76">
        <v>12</v>
      </c>
      <c r="C25" s="77" t="str">
        <f>DataSiswa!B19</f>
        <v>9980065874</v>
      </c>
      <c r="D25" s="78" t="str">
        <f>DataSiswa!C19</f>
        <v>Karina Safira Rannas</v>
      </c>
      <c r="E25" s="423">
        <v>85</v>
      </c>
      <c r="F25" s="318">
        <v>83</v>
      </c>
      <c r="G25" s="270" t="s">
        <v>24</v>
      </c>
      <c r="H25" s="227">
        <f t="shared" si="0"/>
        <v>3.4</v>
      </c>
      <c r="I25" s="227">
        <f t="shared" si="1"/>
        <v>3.32</v>
      </c>
      <c r="J25" s="93" t="s">
        <v>377</v>
      </c>
      <c r="K25" s="96" t="s">
        <v>380</v>
      </c>
      <c r="L25" s="427" t="s">
        <v>382</v>
      </c>
      <c r="M25" s="82"/>
    </row>
    <row r="26" spans="2:13" ht="50.1" customHeight="1">
      <c r="B26" s="76">
        <v>13</v>
      </c>
      <c r="C26" s="77" t="str">
        <f>DataSiswa!B20</f>
        <v>9970816998</v>
      </c>
      <c r="D26" s="78" t="str">
        <f>DataSiswa!C20</f>
        <v>Loura Oktaviola</v>
      </c>
      <c r="E26" s="423">
        <v>86</v>
      </c>
      <c r="F26" s="318">
        <v>85</v>
      </c>
      <c r="G26" s="270" t="s">
        <v>24</v>
      </c>
      <c r="H26" s="227">
        <f t="shared" si="0"/>
        <v>3.44</v>
      </c>
      <c r="I26" s="227">
        <f t="shared" si="1"/>
        <v>3.4</v>
      </c>
      <c r="J26" s="93" t="s">
        <v>377</v>
      </c>
      <c r="K26" s="96" t="s">
        <v>380</v>
      </c>
      <c r="L26" s="435" t="s">
        <v>382</v>
      </c>
      <c r="M26" s="84"/>
    </row>
    <row r="27" spans="2:13" ht="50.1" customHeight="1">
      <c r="B27" s="76">
        <v>14</v>
      </c>
      <c r="C27" s="77" t="str">
        <f>DataSiswa!B21</f>
        <v>9982095456</v>
      </c>
      <c r="D27" s="78" t="str">
        <f>DataSiswa!C21</f>
        <v>Lauren Dwina Arini</v>
      </c>
      <c r="E27" s="423">
        <v>86</v>
      </c>
      <c r="F27" s="318">
        <v>85</v>
      </c>
      <c r="G27" s="270" t="s">
        <v>24</v>
      </c>
      <c r="H27" s="227">
        <f t="shared" si="0"/>
        <v>3.44</v>
      </c>
      <c r="I27" s="227">
        <f t="shared" si="1"/>
        <v>3.4</v>
      </c>
      <c r="J27" s="93" t="s">
        <v>377</v>
      </c>
      <c r="K27" s="96" t="s">
        <v>380</v>
      </c>
      <c r="L27" s="435" t="s">
        <v>382</v>
      </c>
      <c r="M27" s="85"/>
    </row>
    <row r="28" spans="2:13" ht="50.1" customHeight="1">
      <c r="B28" s="76">
        <v>15</v>
      </c>
      <c r="C28" s="77" t="str">
        <f>DataSiswa!B22</f>
        <v>9980817839</v>
      </c>
      <c r="D28" s="78" t="str">
        <f>DataSiswa!C22</f>
        <v>Leoni Syagna Velia</v>
      </c>
      <c r="E28" s="423">
        <v>88</v>
      </c>
      <c r="F28" s="318">
        <v>88</v>
      </c>
      <c r="G28" s="271" t="s">
        <v>24</v>
      </c>
      <c r="H28" s="227">
        <f t="shared" si="0"/>
        <v>3.52</v>
      </c>
      <c r="I28" s="227">
        <f t="shared" si="1"/>
        <v>3.52</v>
      </c>
      <c r="J28" s="230" t="s">
        <v>379</v>
      </c>
      <c r="K28" s="425" t="s">
        <v>380</v>
      </c>
      <c r="L28" s="435" t="s">
        <v>382</v>
      </c>
      <c r="M28" s="85"/>
    </row>
    <row r="29" spans="2:13" ht="50.1" customHeight="1">
      <c r="B29" s="76">
        <v>16</v>
      </c>
      <c r="C29" s="77" t="str">
        <f>DataSiswa!B23</f>
        <v>9982885002</v>
      </c>
      <c r="D29" s="78" t="str">
        <f>DataSiswa!C23</f>
        <v>Mia Larisa Waskito</v>
      </c>
      <c r="E29" s="422">
        <v>87</v>
      </c>
      <c r="F29" s="318">
        <v>86</v>
      </c>
      <c r="G29" s="271" t="s">
        <v>24</v>
      </c>
      <c r="H29" s="227">
        <f t="shared" si="0"/>
        <v>3.48</v>
      </c>
      <c r="I29" s="227">
        <f t="shared" si="1"/>
        <v>3.44</v>
      </c>
      <c r="J29" s="230" t="s">
        <v>377</v>
      </c>
      <c r="K29" s="425" t="s">
        <v>380</v>
      </c>
      <c r="L29" s="435" t="s">
        <v>382</v>
      </c>
      <c r="M29" s="85"/>
    </row>
    <row r="30" spans="2:13" ht="50.1" customHeight="1">
      <c r="B30" s="76">
        <v>17</v>
      </c>
      <c r="C30" s="77" t="str">
        <f>DataSiswa!B24</f>
        <v>9983996707</v>
      </c>
      <c r="D30" s="78" t="str">
        <f>DataSiswa!C24</f>
        <v>Muhammad Fadel</v>
      </c>
      <c r="E30" s="423">
        <v>89</v>
      </c>
      <c r="F30" s="318">
        <v>90</v>
      </c>
      <c r="G30" s="271" t="s">
        <v>334</v>
      </c>
      <c r="H30" s="227">
        <f t="shared" si="0"/>
        <v>3.56</v>
      </c>
      <c r="I30" s="227">
        <f t="shared" si="1"/>
        <v>3.6</v>
      </c>
      <c r="J30" s="230" t="s">
        <v>379</v>
      </c>
      <c r="K30" s="425" t="s">
        <v>380</v>
      </c>
      <c r="L30" s="435" t="s">
        <v>383</v>
      </c>
      <c r="M30" s="85"/>
    </row>
    <row r="31" spans="2:13" ht="50.1" customHeight="1">
      <c r="B31" s="76">
        <v>18</v>
      </c>
      <c r="C31" s="77" t="str">
        <f>DataSiswa!B25</f>
        <v>9981328630</v>
      </c>
      <c r="D31" s="78" t="str">
        <f>DataSiswa!C25</f>
        <v>Muhammad Ilham Fajri</v>
      </c>
      <c r="E31" s="423">
        <v>87</v>
      </c>
      <c r="F31" s="318">
        <v>85</v>
      </c>
      <c r="G31" s="271" t="s">
        <v>24</v>
      </c>
      <c r="H31" s="227">
        <f t="shared" si="0"/>
        <v>3.48</v>
      </c>
      <c r="I31" s="227">
        <f t="shared" si="1"/>
        <v>3.4</v>
      </c>
      <c r="J31" s="230" t="s">
        <v>377</v>
      </c>
      <c r="K31" s="425" t="s">
        <v>380</v>
      </c>
      <c r="L31" s="435" t="s">
        <v>382</v>
      </c>
      <c r="M31" s="85"/>
    </row>
    <row r="32" spans="2:13" ht="50.1" customHeight="1">
      <c r="B32" s="76">
        <v>19</v>
      </c>
      <c r="C32" s="77" t="str">
        <f>DataSiswa!B26</f>
        <v>9980830799</v>
      </c>
      <c r="D32" s="78" t="str">
        <f>DataSiswa!C26</f>
        <v>Muhammad Irfan</v>
      </c>
      <c r="E32" s="423">
        <v>90</v>
      </c>
      <c r="F32" s="318">
        <v>90</v>
      </c>
      <c r="G32" s="271" t="s">
        <v>334</v>
      </c>
      <c r="H32" s="227">
        <f t="shared" si="0"/>
        <v>3.6</v>
      </c>
      <c r="I32" s="227">
        <f t="shared" si="1"/>
        <v>3.6</v>
      </c>
      <c r="J32" s="230" t="s">
        <v>379</v>
      </c>
      <c r="K32" s="425" t="s">
        <v>380</v>
      </c>
      <c r="L32" s="435" t="s">
        <v>384</v>
      </c>
      <c r="M32" s="85"/>
    </row>
    <row r="33" spans="2:13" ht="50.1" customHeight="1">
      <c r="B33" s="76">
        <v>20</v>
      </c>
      <c r="C33" s="77" t="str">
        <f>DataSiswa!B27</f>
        <v>9981704177</v>
      </c>
      <c r="D33" s="78" t="str">
        <f>DataSiswa!C27</f>
        <v>Naura Cantika</v>
      </c>
      <c r="E33" s="423">
        <v>87</v>
      </c>
      <c r="F33" s="318">
        <v>85</v>
      </c>
      <c r="G33" s="271" t="s">
        <v>24</v>
      </c>
      <c r="H33" s="227">
        <f t="shared" si="0"/>
        <v>3.48</v>
      </c>
      <c r="I33" s="227">
        <f t="shared" si="1"/>
        <v>3.4</v>
      </c>
      <c r="J33" s="230" t="s">
        <v>377</v>
      </c>
      <c r="K33" s="425" t="s">
        <v>380</v>
      </c>
      <c r="L33" s="435" t="s">
        <v>382</v>
      </c>
      <c r="M33" s="85"/>
    </row>
    <row r="34" spans="2:13" ht="50.1" customHeight="1">
      <c r="B34" s="76">
        <v>21</v>
      </c>
      <c r="C34" s="77" t="str">
        <f>DataSiswa!B28</f>
        <v>9980810523</v>
      </c>
      <c r="D34" s="78" t="str">
        <f>DataSiswa!C28</f>
        <v>Nurul Putri Salsabila</v>
      </c>
      <c r="E34" s="422">
        <v>87</v>
      </c>
      <c r="F34" s="318">
        <v>83</v>
      </c>
      <c r="G34" s="271" t="s">
        <v>24</v>
      </c>
      <c r="H34" s="227">
        <f t="shared" si="0"/>
        <v>3.48</v>
      </c>
      <c r="I34" s="227">
        <f t="shared" si="1"/>
        <v>3.32</v>
      </c>
      <c r="J34" s="230" t="s">
        <v>377</v>
      </c>
      <c r="K34" s="425" t="s">
        <v>380</v>
      </c>
      <c r="L34" s="435" t="s">
        <v>382</v>
      </c>
      <c r="M34" s="85"/>
    </row>
    <row r="35" spans="2:13" ht="50.1" customHeight="1">
      <c r="B35" s="76">
        <v>22</v>
      </c>
      <c r="C35" s="77" t="str">
        <f>DataSiswa!B29</f>
        <v>9998982066</v>
      </c>
      <c r="D35" s="78" t="str">
        <f>DataSiswa!C29</f>
        <v>Rafi Fikriya Riza</v>
      </c>
      <c r="E35" s="423">
        <v>87</v>
      </c>
      <c r="F35" s="318">
        <v>85</v>
      </c>
      <c r="G35" s="271" t="s">
        <v>24</v>
      </c>
      <c r="H35" s="227">
        <f t="shared" si="0"/>
        <v>3.48</v>
      </c>
      <c r="I35" s="227">
        <f t="shared" si="1"/>
        <v>3.4</v>
      </c>
      <c r="J35" s="230" t="s">
        <v>377</v>
      </c>
      <c r="K35" s="425" t="s">
        <v>380</v>
      </c>
      <c r="L35" s="435" t="s">
        <v>382</v>
      </c>
      <c r="M35" s="85"/>
    </row>
    <row r="36" spans="2:13" ht="50.1" customHeight="1">
      <c r="B36" s="76">
        <v>23</v>
      </c>
      <c r="C36" s="77" t="str">
        <f>DataSiswa!B30</f>
        <v>9985967994</v>
      </c>
      <c r="D36" s="78" t="str">
        <f>DataSiswa!C30</f>
        <v>Restu Tria Bahri</v>
      </c>
      <c r="E36" s="423">
        <v>84</v>
      </c>
      <c r="F36" s="318">
        <v>83</v>
      </c>
      <c r="G36" s="271" t="s">
        <v>24</v>
      </c>
      <c r="H36" s="227">
        <f t="shared" si="0"/>
        <v>3.36</v>
      </c>
      <c r="I36" s="227">
        <f t="shared" si="1"/>
        <v>3.32</v>
      </c>
      <c r="J36" s="230" t="s">
        <v>378</v>
      </c>
      <c r="K36" s="425" t="s">
        <v>380</v>
      </c>
      <c r="L36" s="435" t="s">
        <v>382</v>
      </c>
      <c r="M36" s="85"/>
    </row>
    <row r="37" spans="2:13" ht="50.1" customHeight="1">
      <c r="B37" s="76">
        <v>24</v>
      </c>
      <c r="C37" s="77" t="str">
        <f>DataSiswa!B31</f>
        <v>9980799351</v>
      </c>
      <c r="D37" s="78" t="str">
        <f>DataSiswa!C31</f>
        <v>Rifka Esofita</v>
      </c>
      <c r="E37" s="423">
        <v>84</v>
      </c>
      <c r="F37" s="318">
        <v>83</v>
      </c>
      <c r="G37" s="271" t="s">
        <v>24</v>
      </c>
      <c r="H37" s="227">
        <f t="shared" si="0"/>
        <v>3.36</v>
      </c>
      <c r="I37" s="227">
        <f t="shared" si="1"/>
        <v>3.32</v>
      </c>
      <c r="J37" s="230" t="s">
        <v>377</v>
      </c>
      <c r="K37" s="425" t="s">
        <v>380</v>
      </c>
      <c r="L37" s="435" t="s">
        <v>382</v>
      </c>
      <c r="M37" s="85"/>
    </row>
    <row r="38" spans="2:13" ht="50.1" customHeight="1">
      <c r="B38" s="76">
        <v>25</v>
      </c>
      <c r="C38" s="77" t="str">
        <f>DataSiswa!B32</f>
        <v>9982095495</v>
      </c>
      <c r="D38" s="78" t="str">
        <f>DataSiswa!C32</f>
        <v>Rifo Ranofan</v>
      </c>
      <c r="E38" s="423">
        <v>88</v>
      </c>
      <c r="F38" s="318">
        <v>90</v>
      </c>
      <c r="G38" s="271" t="s">
        <v>24</v>
      </c>
      <c r="H38" s="227">
        <f t="shared" si="0"/>
        <v>3.52</v>
      </c>
      <c r="I38" s="227">
        <f t="shared" si="1"/>
        <v>3.6</v>
      </c>
      <c r="J38" s="230" t="s">
        <v>379</v>
      </c>
      <c r="K38" s="425" t="s">
        <v>380</v>
      </c>
      <c r="L38" s="435" t="s">
        <v>382</v>
      </c>
      <c r="M38" s="85"/>
    </row>
    <row r="39" spans="2:13" ht="50.1" customHeight="1">
      <c r="B39" s="76">
        <v>26</v>
      </c>
      <c r="C39" s="77" t="str">
        <f>DataSiswa!B33</f>
        <v>9985858026</v>
      </c>
      <c r="D39" s="78" t="str">
        <f>DataSiswa!C33</f>
        <v>Stephany Widyanti</v>
      </c>
      <c r="E39" s="422">
        <v>85</v>
      </c>
      <c r="F39" s="318">
        <v>83</v>
      </c>
      <c r="G39" s="239" t="s">
        <v>24</v>
      </c>
      <c r="H39" s="227">
        <f t="shared" si="0"/>
        <v>3.4</v>
      </c>
      <c r="I39" s="227">
        <f t="shared" si="1"/>
        <v>3.32</v>
      </c>
      <c r="J39" s="230" t="s">
        <v>377</v>
      </c>
      <c r="K39" s="425" t="s">
        <v>380</v>
      </c>
      <c r="L39" s="435" t="s">
        <v>382</v>
      </c>
      <c r="M39" s="85"/>
    </row>
    <row r="40" spans="2:13" ht="50.1" customHeight="1">
      <c r="B40" s="76">
        <v>27</v>
      </c>
      <c r="C40" s="77" t="str">
        <f>DataSiswa!B34</f>
        <v>9980818512</v>
      </c>
      <c r="D40" s="78" t="str">
        <f>DataSiswa!C34</f>
        <v>Tiara Yulianti</v>
      </c>
      <c r="E40" s="423">
        <v>87</v>
      </c>
      <c r="F40" s="318">
        <v>87</v>
      </c>
      <c r="G40" s="239" t="s">
        <v>24</v>
      </c>
      <c r="H40" s="227">
        <f t="shared" si="0"/>
        <v>3.48</v>
      </c>
      <c r="I40" s="227">
        <f t="shared" si="1"/>
        <v>3.48</v>
      </c>
      <c r="J40" s="230" t="s">
        <v>377</v>
      </c>
      <c r="K40" s="425" t="s">
        <v>380</v>
      </c>
      <c r="L40" s="435" t="s">
        <v>382</v>
      </c>
      <c r="M40" s="85"/>
    </row>
    <row r="41" spans="2:13" ht="50.1" customHeight="1">
      <c r="B41" s="76">
        <v>28</v>
      </c>
      <c r="C41" s="77" t="str">
        <f>DataSiswa!B35</f>
        <v>9982393794</v>
      </c>
      <c r="D41" s="78" t="str">
        <f>DataSiswa!C35</f>
        <v>Tika Wandira</v>
      </c>
      <c r="E41" s="423">
        <v>84</v>
      </c>
      <c r="F41" s="318">
        <v>85</v>
      </c>
      <c r="G41" s="239" t="s">
        <v>24</v>
      </c>
      <c r="H41" s="227">
        <f t="shared" si="0"/>
        <v>3.36</v>
      </c>
      <c r="I41" s="227">
        <f t="shared" si="1"/>
        <v>3.4</v>
      </c>
      <c r="J41" s="230" t="s">
        <v>377</v>
      </c>
      <c r="K41" s="425" t="s">
        <v>380</v>
      </c>
      <c r="L41" s="435" t="s">
        <v>382</v>
      </c>
      <c r="M41" s="85"/>
    </row>
    <row r="42" spans="2:13" ht="50.1" customHeight="1">
      <c r="B42" s="76">
        <v>29</v>
      </c>
      <c r="C42" s="77" t="str">
        <f>DataSiswa!B36</f>
        <v>9980818720</v>
      </c>
      <c r="D42" s="78" t="str">
        <f>DataSiswa!C36</f>
        <v>Ulfa Febriyani</v>
      </c>
      <c r="E42" s="423">
        <v>87</v>
      </c>
      <c r="F42" s="318">
        <v>85</v>
      </c>
      <c r="G42" s="239" t="s">
        <v>24</v>
      </c>
      <c r="H42" s="227">
        <f t="shared" si="0"/>
        <v>3.48</v>
      </c>
      <c r="I42" s="227">
        <f t="shared" si="1"/>
        <v>3.4</v>
      </c>
      <c r="J42" s="230" t="s">
        <v>377</v>
      </c>
      <c r="K42" s="425" t="s">
        <v>380</v>
      </c>
      <c r="L42" s="435" t="s">
        <v>382</v>
      </c>
      <c r="M42" s="85"/>
    </row>
    <row r="43" spans="2:13" ht="50.1" customHeight="1">
      <c r="B43" s="76">
        <v>30</v>
      </c>
      <c r="C43" s="77" t="str">
        <f>DataSiswa!B37</f>
        <v>9990756408</v>
      </c>
      <c r="D43" s="78" t="str">
        <f>DataSiswa!C37</f>
        <v>Valdy Filando Sardi</v>
      </c>
      <c r="E43" s="423">
        <v>87</v>
      </c>
      <c r="F43" s="318">
        <v>86</v>
      </c>
      <c r="G43" s="239" t="s">
        <v>24</v>
      </c>
      <c r="H43" s="227">
        <f t="shared" si="0"/>
        <v>3.48</v>
      </c>
      <c r="I43" s="227">
        <f t="shared" si="1"/>
        <v>3.44</v>
      </c>
      <c r="J43" s="230" t="s">
        <v>377</v>
      </c>
      <c r="K43" s="425" t="s">
        <v>380</v>
      </c>
      <c r="L43" s="435" t="s">
        <v>382</v>
      </c>
      <c r="M43" s="85"/>
    </row>
    <row r="44" spans="2:13" ht="50.1" customHeight="1">
      <c r="B44" s="76">
        <v>31</v>
      </c>
      <c r="C44" s="77" t="str">
        <f>DataSiswa!B38</f>
        <v>9980816670</v>
      </c>
      <c r="D44" s="78" t="str">
        <f>DataSiswa!C38</f>
        <v>Vonny Maitaveri</v>
      </c>
      <c r="E44" s="423">
        <v>86</v>
      </c>
      <c r="F44" s="318">
        <v>85</v>
      </c>
      <c r="G44" s="239" t="s">
        <v>24</v>
      </c>
      <c r="H44" s="227">
        <f t="shared" si="0"/>
        <v>3.44</v>
      </c>
      <c r="I44" s="227">
        <f t="shared" si="1"/>
        <v>3.4</v>
      </c>
      <c r="J44" s="230" t="s">
        <v>377</v>
      </c>
      <c r="K44" s="425" t="s">
        <v>380</v>
      </c>
      <c r="L44" s="435" t="s">
        <v>382</v>
      </c>
      <c r="M44" s="85"/>
    </row>
    <row r="45" spans="2:13" ht="50.1" customHeight="1">
      <c r="B45" s="76">
        <v>32</v>
      </c>
      <c r="C45" s="77" t="str">
        <f>DataSiswa!B39</f>
        <v>9982889268</v>
      </c>
      <c r="D45" s="78" t="str">
        <f>DataSiswa!C39</f>
        <v>Wahyu Yolanda</v>
      </c>
      <c r="E45" s="423">
        <v>87</v>
      </c>
      <c r="F45" s="318">
        <v>86</v>
      </c>
      <c r="G45" s="239" t="s">
        <v>24</v>
      </c>
      <c r="H45" s="227">
        <f t="shared" si="0"/>
        <v>3.48</v>
      </c>
      <c r="I45" s="227">
        <f t="shared" si="1"/>
        <v>3.44</v>
      </c>
      <c r="J45" s="230" t="s">
        <v>377</v>
      </c>
      <c r="K45" s="425" t="s">
        <v>380</v>
      </c>
      <c r="L45" s="435" t="s">
        <v>385</v>
      </c>
      <c r="M45" s="85"/>
    </row>
    <row r="46" spans="2:13" ht="39.950000000000003" customHeight="1">
      <c r="B46" s="76">
        <v>33</v>
      </c>
      <c r="C46" s="77">
        <f>DataSiswa!B40</f>
        <v>0</v>
      </c>
      <c r="D46" s="78">
        <f>DataSiswa!C40</f>
        <v>0</v>
      </c>
      <c r="E46" s="239"/>
      <c r="F46" s="239"/>
      <c r="G46" s="272"/>
      <c r="H46" s="227">
        <f t="shared" si="0"/>
        <v>0</v>
      </c>
      <c r="I46" s="227">
        <f t="shared" si="1"/>
        <v>0</v>
      </c>
      <c r="J46" s="94"/>
      <c r="K46" s="97"/>
      <c r="L46" s="101"/>
      <c r="M46" s="85"/>
    </row>
    <row r="47" spans="2:13" ht="39.950000000000003" customHeight="1">
      <c r="B47" s="76">
        <v>34</v>
      </c>
      <c r="C47" s="77">
        <f>DataSiswa!B41</f>
        <v>0</v>
      </c>
      <c r="D47" s="78">
        <f>DataSiswa!C41</f>
        <v>0</v>
      </c>
      <c r="E47" s="239"/>
      <c r="F47" s="239"/>
      <c r="G47" s="272"/>
      <c r="H47" s="227">
        <f t="shared" si="0"/>
        <v>0</v>
      </c>
      <c r="I47" s="227">
        <f t="shared" si="1"/>
        <v>0</v>
      </c>
      <c r="J47" s="94"/>
      <c r="K47" s="97"/>
      <c r="L47" s="101"/>
      <c r="M47" s="85"/>
    </row>
    <row r="48" spans="2:13" ht="39.950000000000003" customHeight="1">
      <c r="B48" s="76">
        <v>35</v>
      </c>
      <c r="C48" s="77">
        <f>DataSiswa!B42</f>
        <v>0</v>
      </c>
      <c r="D48" s="78">
        <f>DataSiswa!C42</f>
        <v>0</v>
      </c>
      <c r="E48" s="239"/>
      <c r="F48" s="239"/>
      <c r="G48" s="272"/>
      <c r="H48" s="227">
        <f t="shared" si="0"/>
        <v>0</v>
      </c>
      <c r="I48" s="227">
        <f t="shared" si="1"/>
        <v>0</v>
      </c>
      <c r="J48" s="94"/>
      <c r="K48" s="97"/>
      <c r="L48" s="101"/>
      <c r="M48" s="85"/>
    </row>
    <row r="49" spans="2:13" ht="39.950000000000003" customHeight="1">
      <c r="B49" s="76">
        <v>36</v>
      </c>
      <c r="C49" s="77">
        <f>DataSiswa!B43</f>
        <v>0</v>
      </c>
      <c r="D49" s="78">
        <f>DataSiswa!C43</f>
        <v>0</v>
      </c>
      <c r="E49" s="239"/>
      <c r="F49" s="239"/>
      <c r="G49" s="272"/>
      <c r="H49" s="227">
        <f t="shared" si="0"/>
        <v>0</v>
      </c>
      <c r="I49" s="227">
        <f t="shared" si="1"/>
        <v>0</v>
      </c>
      <c r="J49" s="94"/>
      <c r="K49" s="97"/>
      <c r="L49" s="101"/>
      <c r="M49" s="85"/>
    </row>
    <row r="50" spans="2:13" ht="39.950000000000003" customHeight="1">
      <c r="B50" s="76">
        <v>37</v>
      </c>
      <c r="C50" s="77">
        <f>DataSiswa!B44</f>
        <v>0</v>
      </c>
      <c r="D50" s="78">
        <f>DataSiswa!C44</f>
        <v>0</v>
      </c>
      <c r="E50" s="239"/>
      <c r="F50" s="239"/>
      <c r="G50" s="272"/>
      <c r="H50" s="227">
        <f t="shared" si="0"/>
        <v>0</v>
      </c>
      <c r="I50" s="227">
        <f t="shared" si="1"/>
        <v>0</v>
      </c>
      <c r="J50" s="94"/>
      <c r="K50" s="97"/>
      <c r="L50" s="101"/>
      <c r="M50" s="85"/>
    </row>
    <row r="51" spans="2:13" ht="39.950000000000003" customHeight="1">
      <c r="B51" s="76">
        <v>38</v>
      </c>
      <c r="C51" s="77">
        <f>DataSiswa!B45</f>
        <v>0</v>
      </c>
      <c r="D51" s="78">
        <f>DataSiswa!C45</f>
        <v>0</v>
      </c>
      <c r="E51" s="239"/>
      <c r="F51" s="239"/>
      <c r="G51" s="272"/>
      <c r="H51" s="227">
        <f t="shared" si="0"/>
        <v>0</v>
      </c>
      <c r="I51" s="227">
        <f t="shared" si="1"/>
        <v>0</v>
      </c>
      <c r="J51" s="94"/>
      <c r="K51" s="97"/>
      <c r="L51" s="101"/>
      <c r="M51" s="85"/>
    </row>
    <row r="52" spans="2:13" ht="39.950000000000003" customHeight="1">
      <c r="B52" s="76">
        <v>39</v>
      </c>
      <c r="C52" s="77">
        <f>DataSiswa!B46</f>
        <v>0</v>
      </c>
      <c r="D52" s="78">
        <f>DataSiswa!C46</f>
        <v>0</v>
      </c>
      <c r="E52" s="239"/>
      <c r="F52" s="239"/>
      <c r="G52" s="272"/>
      <c r="H52" s="227">
        <f t="shared" si="0"/>
        <v>0</v>
      </c>
      <c r="I52" s="227">
        <f t="shared" si="1"/>
        <v>0</v>
      </c>
      <c r="J52" s="94"/>
      <c r="K52" s="97"/>
      <c r="L52" s="101"/>
      <c r="M52" s="85"/>
    </row>
    <row r="53" spans="2:13" ht="39.950000000000003" customHeight="1" thickBot="1">
      <c r="B53" s="76">
        <v>40</v>
      </c>
      <c r="C53" s="103">
        <f>DataSiswa!B47</f>
        <v>0</v>
      </c>
      <c r="D53" s="104">
        <f>DataSiswa!C47</f>
        <v>0</v>
      </c>
      <c r="E53" s="273"/>
      <c r="F53" s="273"/>
      <c r="G53" s="274"/>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B1:M54"/>
  <sheetViews>
    <sheetView topLeftCell="A32"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0" width="46.85546875" style="61" customWidth="1"/>
    <col min="11"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DataGuru!C32</f>
        <v>Fisika</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DataGuru!D32</f>
        <v>Drs. Asrul Rivai, MM</v>
      </c>
      <c r="F9" s="566">
        <f>DataGuru!E32</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50.1" customHeight="1">
      <c r="B14" s="76">
        <v>1</v>
      </c>
      <c r="C14" s="77" t="str">
        <f>DataSiswa!B8</f>
        <v>9986980442</v>
      </c>
      <c r="D14" s="78" t="str">
        <f>DataSiswa!C8</f>
        <v>Aditya Taufik Sastra</v>
      </c>
      <c r="E14" s="419">
        <v>84</v>
      </c>
      <c r="F14" s="239">
        <v>85</v>
      </c>
      <c r="G14" s="270" t="s">
        <v>24</v>
      </c>
      <c r="H14" s="227">
        <f>(E14/100)*4</f>
        <v>3.36</v>
      </c>
      <c r="I14" s="227">
        <f>(F14/100)*4</f>
        <v>3.4</v>
      </c>
      <c r="J14" s="93" t="s">
        <v>579</v>
      </c>
      <c r="K14" s="96" t="s">
        <v>582</v>
      </c>
      <c r="L14" s="99" t="s">
        <v>382</v>
      </c>
      <c r="M14" s="81"/>
    </row>
    <row r="15" spans="2:13" ht="50.1" customHeight="1">
      <c r="B15" s="76">
        <v>2</v>
      </c>
      <c r="C15" s="77" t="str">
        <f>DataSiswa!B9</f>
        <v>9982907972</v>
      </c>
      <c r="D15" s="78" t="str">
        <f>DataSiswa!C9</f>
        <v>Angger Ghufron Pangestu</v>
      </c>
      <c r="E15" s="419">
        <v>84</v>
      </c>
      <c r="F15" s="239">
        <v>85</v>
      </c>
      <c r="G15" s="270" t="s">
        <v>24</v>
      </c>
      <c r="H15" s="227">
        <f t="shared" ref="H15:H53" si="0">(E15/100)*4</f>
        <v>3.36</v>
      </c>
      <c r="I15" s="227">
        <f t="shared" ref="I15:I53" si="1">(F15/100)*4</f>
        <v>3.4</v>
      </c>
      <c r="J15" s="93" t="s">
        <v>579</v>
      </c>
      <c r="K15" s="96" t="s">
        <v>582</v>
      </c>
      <c r="L15" s="427" t="s">
        <v>382</v>
      </c>
      <c r="M15" s="82"/>
    </row>
    <row r="16" spans="2:13" ht="50.1" customHeight="1">
      <c r="B16" s="76">
        <v>3</v>
      </c>
      <c r="C16" s="77" t="str">
        <f>DataSiswa!B10</f>
        <v>9983601594</v>
      </c>
      <c r="D16" s="78" t="str">
        <f>DataSiswa!C10</f>
        <v>Anjellia Novia Safitri</v>
      </c>
      <c r="E16" s="419">
        <v>85</v>
      </c>
      <c r="F16" s="239">
        <v>85</v>
      </c>
      <c r="G16" s="270" t="s">
        <v>24</v>
      </c>
      <c r="H16" s="227">
        <f t="shared" si="0"/>
        <v>3.4</v>
      </c>
      <c r="I16" s="227">
        <f t="shared" si="1"/>
        <v>3.4</v>
      </c>
      <c r="J16" s="93" t="s">
        <v>579</v>
      </c>
      <c r="K16" s="96" t="s">
        <v>582</v>
      </c>
      <c r="L16" s="427" t="s">
        <v>382</v>
      </c>
      <c r="M16" s="82"/>
    </row>
    <row r="17" spans="2:13" ht="50.1" customHeight="1">
      <c r="B17" s="76">
        <v>4</v>
      </c>
      <c r="C17" s="77" t="str">
        <f>DataSiswa!B11</f>
        <v>9989091797</v>
      </c>
      <c r="D17" s="78" t="str">
        <f>DataSiswa!C11</f>
        <v>Azis Fahrozi</v>
      </c>
      <c r="E17" s="419">
        <v>83</v>
      </c>
      <c r="F17" s="239">
        <v>85</v>
      </c>
      <c r="G17" s="270" t="s">
        <v>24</v>
      </c>
      <c r="H17" s="227">
        <f t="shared" si="0"/>
        <v>3.32</v>
      </c>
      <c r="I17" s="227">
        <f t="shared" si="1"/>
        <v>3.4</v>
      </c>
      <c r="J17" s="93" t="s">
        <v>579</v>
      </c>
      <c r="K17" s="96" t="s">
        <v>582</v>
      </c>
      <c r="L17" s="427" t="s">
        <v>382</v>
      </c>
      <c r="M17" s="82"/>
    </row>
    <row r="18" spans="2:13" ht="50.1" customHeight="1">
      <c r="B18" s="76">
        <v>5</v>
      </c>
      <c r="C18" s="77" t="str">
        <f>DataSiswa!B12</f>
        <v>9989983501</v>
      </c>
      <c r="D18" s="78" t="str">
        <f>DataSiswa!C12</f>
        <v>Berliana Monica</v>
      </c>
      <c r="E18" s="419">
        <v>83</v>
      </c>
      <c r="F18" s="239">
        <v>85</v>
      </c>
      <c r="G18" s="270" t="s">
        <v>24</v>
      </c>
      <c r="H18" s="227">
        <f t="shared" si="0"/>
        <v>3.32</v>
      </c>
      <c r="I18" s="227">
        <f t="shared" si="1"/>
        <v>3.4</v>
      </c>
      <c r="J18" s="93" t="s">
        <v>579</v>
      </c>
      <c r="K18" s="96" t="s">
        <v>582</v>
      </c>
      <c r="L18" s="427" t="s">
        <v>382</v>
      </c>
      <c r="M18" s="82"/>
    </row>
    <row r="19" spans="2:13" ht="39.950000000000003" customHeight="1">
      <c r="B19" s="76">
        <v>6</v>
      </c>
      <c r="C19" s="77" t="str">
        <f>DataSiswa!B13</f>
        <v>9970817548</v>
      </c>
      <c r="D19" s="78" t="str">
        <f>DataSiswa!C13</f>
        <v>Defri Nofriadi</v>
      </c>
      <c r="E19" s="419">
        <v>85</v>
      </c>
      <c r="F19" s="239">
        <v>85</v>
      </c>
      <c r="G19" s="270" t="s">
        <v>24</v>
      </c>
      <c r="H19" s="227">
        <f t="shared" si="0"/>
        <v>3.4</v>
      </c>
      <c r="I19" s="227">
        <f t="shared" si="1"/>
        <v>3.4</v>
      </c>
      <c r="J19" s="93" t="s">
        <v>579</v>
      </c>
      <c r="K19" s="96" t="s">
        <v>582</v>
      </c>
      <c r="L19" s="427" t="s">
        <v>382</v>
      </c>
      <c r="M19" s="82"/>
    </row>
    <row r="20" spans="2:13" ht="39.950000000000003" customHeight="1">
      <c r="B20" s="76">
        <v>7</v>
      </c>
      <c r="C20" s="77" t="str">
        <f>DataSiswa!B14</f>
        <v>9980817555</v>
      </c>
      <c r="D20" s="78" t="str">
        <f>DataSiswa!C14</f>
        <v>Dina Mardana Dulas</v>
      </c>
      <c r="E20" s="419">
        <v>83</v>
      </c>
      <c r="F20" s="239">
        <v>85</v>
      </c>
      <c r="G20" s="270" t="s">
        <v>24</v>
      </c>
      <c r="H20" s="227">
        <f t="shared" si="0"/>
        <v>3.32</v>
      </c>
      <c r="I20" s="227">
        <f t="shared" si="1"/>
        <v>3.4</v>
      </c>
      <c r="J20" s="93" t="s">
        <v>579</v>
      </c>
      <c r="K20" s="96" t="s">
        <v>582</v>
      </c>
      <c r="L20" s="427" t="s">
        <v>382</v>
      </c>
      <c r="M20" s="82"/>
    </row>
    <row r="21" spans="2:13" ht="39.950000000000003" customHeight="1">
      <c r="B21" s="76">
        <v>8</v>
      </c>
      <c r="C21" s="77" t="str">
        <f>DataSiswa!B15</f>
        <v>9980817812</v>
      </c>
      <c r="D21" s="78" t="str">
        <f>DataSiswa!C15</f>
        <v>Famella Putriadi</v>
      </c>
      <c r="E21" s="419">
        <v>84</v>
      </c>
      <c r="F21" s="239">
        <v>85</v>
      </c>
      <c r="G21" s="270" t="s">
        <v>24</v>
      </c>
      <c r="H21" s="227">
        <f t="shared" si="0"/>
        <v>3.36</v>
      </c>
      <c r="I21" s="227">
        <f t="shared" si="1"/>
        <v>3.4</v>
      </c>
      <c r="J21" s="93" t="s">
        <v>579</v>
      </c>
      <c r="K21" s="96" t="s">
        <v>582</v>
      </c>
      <c r="L21" s="427" t="s">
        <v>382</v>
      </c>
      <c r="M21" s="82"/>
    </row>
    <row r="22" spans="2:13" ht="39.950000000000003" customHeight="1">
      <c r="B22" s="76">
        <v>9</v>
      </c>
      <c r="C22" s="77" t="str">
        <f>DataSiswa!B16</f>
        <v>9986349049</v>
      </c>
      <c r="D22" s="78" t="str">
        <f>DataSiswa!C16</f>
        <v>Febrawati Fajlynd</v>
      </c>
      <c r="E22" s="419">
        <v>85</v>
      </c>
      <c r="F22" s="239">
        <v>82</v>
      </c>
      <c r="G22" s="270" t="s">
        <v>24</v>
      </c>
      <c r="H22" s="227">
        <f t="shared" si="0"/>
        <v>3.4</v>
      </c>
      <c r="I22" s="227">
        <f t="shared" si="1"/>
        <v>3.28</v>
      </c>
      <c r="J22" s="93" t="s">
        <v>579</v>
      </c>
      <c r="K22" s="96" t="s">
        <v>582</v>
      </c>
      <c r="L22" s="427" t="s">
        <v>382</v>
      </c>
      <c r="M22" s="82"/>
    </row>
    <row r="23" spans="2:13" ht="39.950000000000003" customHeight="1">
      <c r="B23" s="76">
        <v>10</v>
      </c>
      <c r="C23" s="77" t="str">
        <f>DataSiswa!B17</f>
        <v>9980673410</v>
      </c>
      <c r="D23" s="78" t="str">
        <f>DataSiswa!C17</f>
        <v>Fierro Perdana Ibrahim</v>
      </c>
      <c r="E23" s="419">
        <v>82</v>
      </c>
      <c r="F23" s="239">
        <v>85</v>
      </c>
      <c r="G23" s="270" t="s">
        <v>24</v>
      </c>
      <c r="H23" s="227">
        <f t="shared" si="0"/>
        <v>3.28</v>
      </c>
      <c r="I23" s="227">
        <f t="shared" si="1"/>
        <v>3.4</v>
      </c>
      <c r="J23" s="93" t="s">
        <v>580</v>
      </c>
      <c r="K23" s="96" t="s">
        <v>582</v>
      </c>
      <c r="L23" s="427" t="s">
        <v>382</v>
      </c>
      <c r="M23" s="82"/>
    </row>
    <row r="24" spans="2:13" ht="39.950000000000003" customHeight="1">
      <c r="B24" s="76">
        <v>11</v>
      </c>
      <c r="C24" s="77" t="str">
        <f>DataSiswa!B18</f>
        <v>9980817833</v>
      </c>
      <c r="D24" s="78" t="str">
        <f>DataSiswa!C18</f>
        <v>Jihan Salsabilla</v>
      </c>
      <c r="E24" s="419">
        <v>84</v>
      </c>
      <c r="F24" s="239">
        <v>85</v>
      </c>
      <c r="G24" s="270" t="s">
        <v>24</v>
      </c>
      <c r="H24" s="227">
        <f t="shared" si="0"/>
        <v>3.36</v>
      </c>
      <c r="I24" s="227">
        <f t="shared" si="1"/>
        <v>3.4</v>
      </c>
      <c r="J24" s="93" t="s">
        <v>579</v>
      </c>
      <c r="K24" s="96" t="s">
        <v>583</v>
      </c>
      <c r="L24" s="427" t="s">
        <v>382</v>
      </c>
      <c r="M24" s="82"/>
    </row>
    <row r="25" spans="2:13" ht="39.950000000000003" customHeight="1">
      <c r="B25" s="76">
        <v>12</v>
      </c>
      <c r="C25" s="77" t="str">
        <f>DataSiswa!B19</f>
        <v>9980065874</v>
      </c>
      <c r="D25" s="78" t="str">
        <f>DataSiswa!C19</f>
        <v>Karina Safira Rannas</v>
      </c>
      <c r="E25" s="419">
        <v>86</v>
      </c>
      <c r="F25" s="239">
        <v>85</v>
      </c>
      <c r="G25" s="270" t="s">
        <v>24</v>
      </c>
      <c r="H25" s="227">
        <f t="shared" si="0"/>
        <v>3.44</v>
      </c>
      <c r="I25" s="227">
        <f t="shared" si="1"/>
        <v>3.4</v>
      </c>
      <c r="J25" s="93" t="s">
        <v>579</v>
      </c>
      <c r="K25" s="96" t="s">
        <v>582</v>
      </c>
      <c r="L25" s="100" t="s">
        <v>382</v>
      </c>
      <c r="M25" s="82"/>
    </row>
    <row r="26" spans="2:13" ht="39.950000000000003" customHeight="1">
      <c r="B26" s="76">
        <v>13</v>
      </c>
      <c r="C26" s="77" t="str">
        <f>DataSiswa!B20</f>
        <v>9970816998</v>
      </c>
      <c r="D26" s="78" t="str">
        <f>DataSiswa!C20</f>
        <v>Loura Oktaviola</v>
      </c>
      <c r="E26" s="419">
        <v>85</v>
      </c>
      <c r="F26" s="239">
        <v>85</v>
      </c>
      <c r="G26" s="270" t="s">
        <v>24</v>
      </c>
      <c r="H26" s="227">
        <f t="shared" si="0"/>
        <v>3.4</v>
      </c>
      <c r="I26" s="227">
        <f t="shared" si="1"/>
        <v>3.4</v>
      </c>
      <c r="J26" s="93" t="s">
        <v>579</v>
      </c>
      <c r="K26" s="96" t="s">
        <v>582</v>
      </c>
      <c r="L26" s="426" t="s">
        <v>382</v>
      </c>
      <c r="M26" s="84"/>
    </row>
    <row r="27" spans="2:13" ht="50.1" customHeight="1">
      <c r="B27" s="76">
        <v>14</v>
      </c>
      <c r="C27" s="77" t="str">
        <f>DataSiswa!B21</f>
        <v>9982095456</v>
      </c>
      <c r="D27" s="78" t="str">
        <f>DataSiswa!C21</f>
        <v>Lauren Dwina Arini</v>
      </c>
      <c r="E27" s="419">
        <v>83</v>
      </c>
      <c r="F27" s="239">
        <v>85</v>
      </c>
      <c r="G27" s="270" t="s">
        <v>24</v>
      </c>
      <c r="H27" s="227">
        <f t="shared" si="0"/>
        <v>3.32</v>
      </c>
      <c r="I27" s="227">
        <f t="shared" si="1"/>
        <v>3.4</v>
      </c>
      <c r="J27" s="93" t="s">
        <v>579</v>
      </c>
      <c r="K27" s="96" t="s">
        <v>582</v>
      </c>
      <c r="L27" s="426" t="s">
        <v>382</v>
      </c>
      <c r="M27" s="85"/>
    </row>
    <row r="28" spans="2:13" ht="50.1" customHeight="1">
      <c r="B28" s="76">
        <v>15</v>
      </c>
      <c r="C28" s="77" t="str">
        <f>DataSiswa!B22</f>
        <v>9980817839</v>
      </c>
      <c r="D28" s="78" t="str">
        <f>DataSiswa!C22</f>
        <v>Leoni Syagna Velia</v>
      </c>
      <c r="E28" s="419">
        <v>85</v>
      </c>
      <c r="F28" s="239">
        <v>85</v>
      </c>
      <c r="G28" s="271" t="s">
        <v>24</v>
      </c>
      <c r="H28" s="227">
        <f t="shared" si="0"/>
        <v>3.4</v>
      </c>
      <c r="I28" s="227">
        <f t="shared" si="1"/>
        <v>3.4</v>
      </c>
      <c r="J28" s="420" t="s">
        <v>579</v>
      </c>
      <c r="K28" s="425" t="s">
        <v>582</v>
      </c>
      <c r="L28" s="426" t="s">
        <v>382</v>
      </c>
      <c r="M28" s="85"/>
    </row>
    <row r="29" spans="2:13" ht="39.950000000000003" customHeight="1">
      <c r="B29" s="76">
        <v>16</v>
      </c>
      <c r="C29" s="77" t="str">
        <f>DataSiswa!B23</f>
        <v>9982885002</v>
      </c>
      <c r="D29" s="78" t="str">
        <f>DataSiswa!C23</f>
        <v>Mia Larisa Waskito</v>
      </c>
      <c r="E29" s="419">
        <v>87</v>
      </c>
      <c r="F29" s="239">
        <v>85</v>
      </c>
      <c r="G29" s="271" t="s">
        <v>24</v>
      </c>
      <c r="H29" s="227">
        <f t="shared" si="0"/>
        <v>3.48</v>
      </c>
      <c r="I29" s="227">
        <f t="shared" si="1"/>
        <v>3.4</v>
      </c>
      <c r="J29" s="420" t="s">
        <v>579</v>
      </c>
      <c r="K29" s="425" t="s">
        <v>582</v>
      </c>
      <c r="L29" s="426" t="s">
        <v>382</v>
      </c>
      <c r="M29" s="85"/>
    </row>
    <row r="30" spans="2:13" ht="39.950000000000003" customHeight="1">
      <c r="B30" s="76">
        <v>17</v>
      </c>
      <c r="C30" s="77" t="str">
        <f>DataSiswa!B24</f>
        <v>9983996707</v>
      </c>
      <c r="D30" s="78" t="str">
        <f>DataSiswa!C24</f>
        <v>Muhammad Fadel</v>
      </c>
      <c r="E30" s="419">
        <v>89</v>
      </c>
      <c r="F30" s="239">
        <v>85</v>
      </c>
      <c r="G30" s="271" t="s">
        <v>24</v>
      </c>
      <c r="H30" s="227">
        <f t="shared" si="0"/>
        <v>3.56</v>
      </c>
      <c r="I30" s="227">
        <f t="shared" si="1"/>
        <v>3.4</v>
      </c>
      <c r="J30" s="420" t="s">
        <v>581</v>
      </c>
      <c r="K30" s="425" t="s">
        <v>582</v>
      </c>
      <c r="L30" s="426" t="s">
        <v>382</v>
      </c>
      <c r="M30" s="85"/>
    </row>
    <row r="31" spans="2:13" ht="39.950000000000003" customHeight="1">
      <c r="B31" s="76">
        <v>18</v>
      </c>
      <c r="C31" s="77" t="str">
        <f>DataSiswa!B25</f>
        <v>9981328630</v>
      </c>
      <c r="D31" s="78" t="str">
        <f>DataSiswa!C25</f>
        <v>Muhammad Ilham Fajri</v>
      </c>
      <c r="E31" s="419">
        <v>84</v>
      </c>
      <c r="F31" s="239">
        <v>85</v>
      </c>
      <c r="G31" s="271" t="s">
        <v>24</v>
      </c>
      <c r="H31" s="227">
        <f t="shared" si="0"/>
        <v>3.36</v>
      </c>
      <c r="I31" s="227">
        <f t="shared" si="1"/>
        <v>3.4</v>
      </c>
      <c r="J31" s="420" t="s">
        <v>579</v>
      </c>
      <c r="K31" s="425" t="s">
        <v>582</v>
      </c>
      <c r="L31" s="426" t="s">
        <v>382</v>
      </c>
      <c r="M31" s="85"/>
    </row>
    <row r="32" spans="2:13" ht="39.950000000000003" customHeight="1">
      <c r="B32" s="76">
        <v>19</v>
      </c>
      <c r="C32" s="77" t="str">
        <f>DataSiswa!B26</f>
        <v>9980830799</v>
      </c>
      <c r="D32" s="78" t="str">
        <f>DataSiswa!C26</f>
        <v>Muhammad Irfan</v>
      </c>
      <c r="E32" s="419">
        <v>89</v>
      </c>
      <c r="F32" s="239">
        <v>85</v>
      </c>
      <c r="G32" s="271" t="s">
        <v>24</v>
      </c>
      <c r="H32" s="227">
        <f t="shared" si="0"/>
        <v>3.56</v>
      </c>
      <c r="I32" s="227">
        <f t="shared" si="1"/>
        <v>3.4</v>
      </c>
      <c r="J32" s="420" t="s">
        <v>581</v>
      </c>
      <c r="K32" s="425" t="s">
        <v>582</v>
      </c>
      <c r="L32" s="426" t="s">
        <v>571</v>
      </c>
      <c r="M32" s="85"/>
    </row>
    <row r="33" spans="2:13" ht="39.950000000000003" customHeight="1">
      <c r="B33" s="76">
        <v>20</v>
      </c>
      <c r="C33" s="77" t="str">
        <f>DataSiswa!B27</f>
        <v>9981704177</v>
      </c>
      <c r="D33" s="78" t="str">
        <f>DataSiswa!C27</f>
        <v>Naura Cantika</v>
      </c>
      <c r="E33" s="419">
        <v>86</v>
      </c>
      <c r="F33" s="239">
        <v>85</v>
      </c>
      <c r="G33" s="271" t="s">
        <v>24</v>
      </c>
      <c r="H33" s="227">
        <f t="shared" si="0"/>
        <v>3.44</v>
      </c>
      <c r="I33" s="227">
        <f t="shared" si="1"/>
        <v>3.4</v>
      </c>
      <c r="J33" s="420" t="s">
        <v>579</v>
      </c>
      <c r="K33" s="425" t="s">
        <v>582</v>
      </c>
      <c r="L33" s="426" t="s">
        <v>382</v>
      </c>
      <c r="M33" s="85"/>
    </row>
    <row r="34" spans="2:13" ht="39.950000000000003" customHeight="1">
      <c r="B34" s="76">
        <v>21</v>
      </c>
      <c r="C34" s="77" t="str">
        <f>DataSiswa!B28</f>
        <v>9980810523</v>
      </c>
      <c r="D34" s="78" t="str">
        <f>DataSiswa!C28</f>
        <v>Nurul Putri Salsabila</v>
      </c>
      <c r="E34" s="419">
        <v>86</v>
      </c>
      <c r="F34" s="239">
        <v>85</v>
      </c>
      <c r="G34" s="271" t="s">
        <v>24</v>
      </c>
      <c r="H34" s="227">
        <f t="shared" si="0"/>
        <v>3.44</v>
      </c>
      <c r="I34" s="227">
        <f t="shared" si="1"/>
        <v>3.4</v>
      </c>
      <c r="J34" s="420" t="s">
        <v>579</v>
      </c>
      <c r="K34" s="425" t="s">
        <v>582</v>
      </c>
      <c r="L34" s="426" t="s">
        <v>382</v>
      </c>
      <c r="M34" s="85"/>
    </row>
    <row r="35" spans="2:13" ht="39.950000000000003" customHeight="1">
      <c r="B35" s="76">
        <v>22</v>
      </c>
      <c r="C35" s="77" t="str">
        <f>DataSiswa!B29</f>
        <v>9998982066</v>
      </c>
      <c r="D35" s="78" t="str">
        <f>DataSiswa!C29</f>
        <v>Rafi Fikriya Riza</v>
      </c>
      <c r="E35" s="419">
        <v>84</v>
      </c>
      <c r="F35" s="239">
        <v>85</v>
      </c>
      <c r="G35" s="271" t="s">
        <v>24</v>
      </c>
      <c r="H35" s="227">
        <f t="shared" si="0"/>
        <v>3.36</v>
      </c>
      <c r="I35" s="227">
        <f t="shared" si="1"/>
        <v>3.4</v>
      </c>
      <c r="J35" s="420" t="s">
        <v>579</v>
      </c>
      <c r="K35" s="425" t="s">
        <v>582</v>
      </c>
      <c r="L35" s="426" t="s">
        <v>382</v>
      </c>
      <c r="M35" s="85"/>
    </row>
    <row r="36" spans="2:13" ht="39.950000000000003" customHeight="1">
      <c r="B36" s="76">
        <v>23</v>
      </c>
      <c r="C36" s="77" t="str">
        <f>DataSiswa!B30</f>
        <v>9985967994</v>
      </c>
      <c r="D36" s="78" t="str">
        <f>DataSiswa!C30</f>
        <v>Restu Tria Bahri</v>
      </c>
      <c r="E36" s="419">
        <v>85</v>
      </c>
      <c r="F36" s="239">
        <v>85</v>
      </c>
      <c r="G36" s="271" t="s">
        <v>24</v>
      </c>
      <c r="H36" s="227">
        <f t="shared" si="0"/>
        <v>3.4</v>
      </c>
      <c r="I36" s="227">
        <f t="shared" si="1"/>
        <v>3.4</v>
      </c>
      <c r="J36" s="420" t="s">
        <v>580</v>
      </c>
      <c r="K36" s="425" t="s">
        <v>582</v>
      </c>
      <c r="L36" s="426" t="s">
        <v>382</v>
      </c>
      <c r="M36" s="85"/>
    </row>
    <row r="37" spans="2:13" ht="39.950000000000003" customHeight="1">
      <c r="B37" s="76">
        <v>24</v>
      </c>
      <c r="C37" s="77" t="str">
        <f>DataSiswa!B31</f>
        <v>9980799351</v>
      </c>
      <c r="D37" s="78" t="str">
        <f>DataSiswa!C31</f>
        <v>Rifka Esofita</v>
      </c>
      <c r="E37" s="419">
        <v>86</v>
      </c>
      <c r="F37" s="239">
        <v>85</v>
      </c>
      <c r="G37" s="271" t="s">
        <v>24</v>
      </c>
      <c r="H37" s="227">
        <f t="shared" si="0"/>
        <v>3.44</v>
      </c>
      <c r="I37" s="227">
        <f t="shared" si="1"/>
        <v>3.4</v>
      </c>
      <c r="J37" s="420" t="s">
        <v>579</v>
      </c>
      <c r="K37" s="425" t="s">
        <v>582</v>
      </c>
      <c r="L37" s="426" t="s">
        <v>382</v>
      </c>
      <c r="M37" s="85"/>
    </row>
    <row r="38" spans="2:13" ht="39.950000000000003" customHeight="1">
      <c r="B38" s="76">
        <v>25</v>
      </c>
      <c r="C38" s="77" t="str">
        <f>DataSiswa!B32</f>
        <v>9982095495</v>
      </c>
      <c r="D38" s="78" t="str">
        <f>DataSiswa!C32</f>
        <v>Rifo Ranofan</v>
      </c>
      <c r="E38" s="419">
        <v>86</v>
      </c>
      <c r="F38" s="239">
        <v>85</v>
      </c>
      <c r="G38" s="271" t="s">
        <v>24</v>
      </c>
      <c r="H38" s="227">
        <f t="shared" si="0"/>
        <v>3.44</v>
      </c>
      <c r="I38" s="227">
        <f t="shared" si="1"/>
        <v>3.4</v>
      </c>
      <c r="J38" s="420" t="s">
        <v>579</v>
      </c>
      <c r="K38" s="425" t="s">
        <v>582</v>
      </c>
      <c r="L38" s="426" t="s">
        <v>382</v>
      </c>
      <c r="M38" s="85"/>
    </row>
    <row r="39" spans="2:13" ht="39.950000000000003" customHeight="1">
      <c r="B39" s="76">
        <v>26</v>
      </c>
      <c r="C39" s="77" t="str">
        <f>DataSiswa!B33</f>
        <v>9985858026</v>
      </c>
      <c r="D39" s="78" t="str">
        <f>DataSiswa!C33</f>
        <v>Stephany Widyanti</v>
      </c>
      <c r="E39" s="419">
        <v>87</v>
      </c>
      <c r="F39" s="239">
        <v>85</v>
      </c>
      <c r="G39" s="275" t="s">
        <v>24</v>
      </c>
      <c r="H39" s="227">
        <f t="shared" si="0"/>
        <v>3.48</v>
      </c>
      <c r="I39" s="227">
        <f t="shared" si="1"/>
        <v>3.4</v>
      </c>
      <c r="J39" s="420" t="s">
        <v>579</v>
      </c>
      <c r="K39" s="425" t="s">
        <v>582</v>
      </c>
      <c r="L39" s="426" t="s">
        <v>382</v>
      </c>
      <c r="M39" s="85"/>
    </row>
    <row r="40" spans="2:13" ht="39.950000000000003" customHeight="1">
      <c r="B40" s="76">
        <v>27</v>
      </c>
      <c r="C40" s="77" t="str">
        <f>DataSiswa!B34</f>
        <v>9980818512</v>
      </c>
      <c r="D40" s="78" t="str">
        <f>DataSiswa!C34</f>
        <v>Tiara Yulianti</v>
      </c>
      <c r="E40" s="419">
        <v>85</v>
      </c>
      <c r="F40" s="239">
        <v>85</v>
      </c>
      <c r="G40" s="272" t="s">
        <v>24</v>
      </c>
      <c r="H40" s="227">
        <f t="shared" si="0"/>
        <v>3.4</v>
      </c>
      <c r="I40" s="227">
        <f t="shared" si="1"/>
        <v>3.4</v>
      </c>
      <c r="J40" s="420" t="s">
        <v>579</v>
      </c>
      <c r="K40" s="425" t="s">
        <v>582</v>
      </c>
      <c r="L40" s="426" t="s">
        <v>382</v>
      </c>
      <c r="M40" s="85"/>
    </row>
    <row r="41" spans="2:13" ht="39.950000000000003" customHeight="1">
      <c r="B41" s="76">
        <v>28</v>
      </c>
      <c r="C41" s="77" t="str">
        <f>DataSiswa!B35</f>
        <v>9982393794</v>
      </c>
      <c r="D41" s="78" t="str">
        <f>DataSiswa!C35</f>
        <v>Tika Wandira</v>
      </c>
      <c r="E41" s="419">
        <v>86</v>
      </c>
      <c r="F41" s="239">
        <v>85</v>
      </c>
      <c r="G41" s="272" t="s">
        <v>24</v>
      </c>
      <c r="H41" s="227">
        <f t="shared" si="0"/>
        <v>3.44</v>
      </c>
      <c r="I41" s="227">
        <f t="shared" si="1"/>
        <v>3.4</v>
      </c>
      <c r="J41" s="420" t="s">
        <v>579</v>
      </c>
      <c r="K41" s="425" t="s">
        <v>582</v>
      </c>
      <c r="L41" s="426" t="s">
        <v>382</v>
      </c>
      <c r="M41" s="85"/>
    </row>
    <row r="42" spans="2:13" ht="39.950000000000003" customHeight="1">
      <c r="B42" s="76">
        <v>29</v>
      </c>
      <c r="C42" s="77" t="str">
        <f>DataSiswa!B36</f>
        <v>9980818720</v>
      </c>
      <c r="D42" s="78" t="str">
        <f>DataSiswa!C36</f>
        <v>Ulfa Febriyani</v>
      </c>
      <c r="E42" s="419">
        <v>85</v>
      </c>
      <c r="F42" s="239">
        <v>85</v>
      </c>
      <c r="G42" s="272" t="s">
        <v>24</v>
      </c>
      <c r="H42" s="227">
        <f t="shared" si="0"/>
        <v>3.4</v>
      </c>
      <c r="I42" s="227">
        <f t="shared" si="1"/>
        <v>3.4</v>
      </c>
      <c r="J42" s="420" t="s">
        <v>579</v>
      </c>
      <c r="K42" s="425" t="s">
        <v>582</v>
      </c>
      <c r="L42" s="426" t="s">
        <v>382</v>
      </c>
      <c r="M42" s="85"/>
    </row>
    <row r="43" spans="2:13" ht="39.950000000000003" customHeight="1">
      <c r="B43" s="76">
        <v>30</v>
      </c>
      <c r="C43" s="77" t="str">
        <f>DataSiswa!B37</f>
        <v>9990756408</v>
      </c>
      <c r="D43" s="78" t="str">
        <f>DataSiswa!C37</f>
        <v>Valdy Filando Sardi</v>
      </c>
      <c r="E43" s="419">
        <v>83</v>
      </c>
      <c r="F43" s="239">
        <v>85</v>
      </c>
      <c r="G43" s="272" t="s">
        <v>24</v>
      </c>
      <c r="H43" s="227">
        <f t="shared" si="0"/>
        <v>3.32</v>
      </c>
      <c r="I43" s="227">
        <f t="shared" si="1"/>
        <v>3.4</v>
      </c>
      <c r="J43" s="420" t="s">
        <v>579</v>
      </c>
      <c r="K43" s="425" t="s">
        <v>582</v>
      </c>
      <c r="L43" s="426" t="s">
        <v>382</v>
      </c>
      <c r="M43" s="85"/>
    </row>
    <row r="44" spans="2:13" ht="39.950000000000003" customHeight="1">
      <c r="B44" s="76">
        <v>31</v>
      </c>
      <c r="C44" s="77" t="str">
        <f>DataSiswa!B38</f>
        <v>9980816670</v>
      </c>
      <c r="D44" s="78" t="str">
        <f>DataSiswa!C38</f>
        <v>Vonny Maitaveri</v>
      </c>
      <c r="E44" s="419">
        <v>84</v>
      </c>
      <c r="F44" s="239">
        <v>85</v>
      </c>
      <c r="G44" s="272" t="s">
        <v>24</v>
      </c>
      <c r="H44" s="227">
        <f t="shared" si="0"/>
        <v>3.36</v>
      </c>
      <c r="I44" s="227">
        <f t="shared" si="1"/>
        <v>3.4</v>
      </c>
      <c r="J44" s="420" t="s">
        <v>579</v>
      </c>
      <c r="K44" s="425" t="s">
        <v>582</v>
      </c>
      <c r="L44" s="426" t="s">
        <v>584</v>
      </c>
      <c r="M44" s="85"/>
    </row>
    <row r="45" spans="2:13" ht="39.950000000000003" customHeight="1">
      <c r="B45" s="76">
        <v>32</v>
      </c>
      <c r="C45" s="77" t="str">
        <f>DataSiswa!B39</f>
        <v>9982889268</v>
      </c>
      <c r="D45" s="78" t="str">
        <f>DataSiswa!C39</f>
        <v>Wahyu Yolanda</v>
      </c>
      <c r="E45" s="419">
        <v>83</v>
      </c>
      <c r="F45" s="239">
        <v>85</v>
      </c>
      <c r="G45" s="272" t="s">
        <v>24</v>
      </c>
      <c r="H45" s="227">
        <f t="shared" si="0"/>
        <v>3.32</v>
      </c>
      <c r="I45" s="227">
        <f t="shared" si="1"/>
        <v>3.4</v>
      </c>
      <c r="J45" s="420" t="s">
        <v>579</v>
      </c>
      <c r="K45" s="425" t="s">
        <v>582</v>
      </c>
      <c r="L45" s="426" t="s">
        <v>382</v>
      </c>
      <c r="M45" s="85"/>
    </row>
    <row r="46" spans="2:13" ht="39.950000000000003" customHeight="1">
      <c r="B46" s="76">
        <v>33</v>
      </c>
      <c r="C46" s="77">
        <f>DataSiswa!B40</f>
        <v>0</v>
      </c>
      <c r="D46" s="78">
        <f>DataSiswa!C40</f>
        <v>0</v>
      </c>
      <c r="E46" s="239"/>
      <c r="F46" s="239"/>
      <c r="G46" s="272"/>
      <c r="H46" s="227">
        <f t="shared" si="0"/>
        <v>0</v>
      </c>
      <c r="I46" s="227">
        <f t="shared" si="1"/>
        <v>0</v>
      </c>
      <c r="J46" s="94"/>
      <c r="K46" s="97"/>
      <c r="L46" s="101"/>
      <c r="M46" s="85"/>
    </row>
    <row r="47" spans="2:13" ht="39.950000000000003" customHeight="1">
      <c r="B47" s="76">
        <v>34</v>
      </c>
      <c r="C47" s="77">
        <f>DataSiswa!B41</f>
        <v>0</v>
      </c>
      <c r="D47" s="78">
        <f>DataSiswa!C41</f>
        <v>0</v>
      </c>
      <c r="E47" s="239"/>
      <c r="F47" s="239"/>
      <c r="G47" s="272"/>
      <c r="H47" s="227">
        <f t="shared" si="0"/>
        <v>0</v>
      </c>
      <c r="I47" s="227">
        <f t="shared" si="1"/>
        <v>0</v>
      </c>
      <c r="J47" s="94"/>
      <c r="K47" s="97"/>
      <c r="L47" s="101"/>
      <c r="M47" s="85"/>
    </row>
    <row r="48" spans="2:13" ht="39.950000000000003" customHeight="1">
      <c r="B48" s="76">
        <v>35</v>
      </c>
      <c r="C48" s="77">
        <f>DataSiswa!B42</f>
        <v>0</v>
      </c>
      <c r="D48" s="78">
        <f>DataSiswa!C42</f>
        <v>0</v>
      </c>
      <c r="E48" s="239"/>
      <c r="F48" s="239"/>
      <c r="G48" s="272"/>
      <c r="H48" s="227">
        <f t="shared" si="0"/>
        <v>0</v>
      </c>
      <c r="I48" s="227">
        <f t="shared" si="1"/>
        <v>0</v>
      </c>
      <c r="J48" s="94"/>
      <c r="K48" s="97"/>
      <c r="L48" s="101"/>
      <c r="M48" s="85"/>
    </row>
    <row r="49" spans="2:13" ht="39.950000000000003" customHeight="1">
      <c r="B49" s="76">
        <v>36</v>
      </c>
      <c r="C49" s="77">
        <f>DataSiswa!B43</f>
        <v>0</v>
      </c>
      <c r="D49" s="78">
        <f>DataSiswa!C43</f>
        <v>0</v>
      </c>
      <c r="E49" s="239"/>
      <c r="F49" s="239"/>
      <c r="G49" s="272"/>
      <c r="H49" s="227">
        <f t="shared" si="0"/>
        <v>0</v>
      </c>
      <c r="I49" s="227">
        <f t="shared" si="1"/>
        <v>0</v>
      </c>
      <c r="J49" s="94"/>
      <c r="K49" s="97"/>
      <c r="L49" s="101"/>
      <c r="M49" s="85"/>
    </row>
    <row r="50" spans="2:13" ht="39.950000000000003" customHeight="1">
      <c r="B50" s="76">
        <v>37</v>
      </c>
      <c r="C50" s="77">
        <f>DataSiswa!B44</f>
        <v>0</v>
      </c>
      <c r="D50" s="78">
        <f>DataSiswa!C44</f>
        <v>0</v>
      </c>
      <c r="E50" s="239"/>
      <c r="F50" s="239"/>
      <c r="G50" s="272"/>
      <c r="H50" s="227">
        <f t="shared" si="0"/>
        <v>0</v>
      </c>
      <c r="I50" s="227">
        <f t="shared" si="1"/>
        <v>0</v>
      </c>
      <c r="J50" s="94"/>
      <c r="K50" s="97"/>
      <c r="L50" s="101"/>
      <c r="M50" s="85"/>
    </row>
    <row r="51" spans="2:13" ht="39.950000000000003" customHeight="1">
      <c r="B51" s="76">
        <v>38</v>
      </c>
      <c r="C51" s="77">
        <f>DataSiswa!B45</f>
        <v>0</v>
      </c>
      <c r="D51" s="78">
        <f>DataSiswa!C45</f>
        <v>0</v>
      </c>
      <c r="E51" s="239"/>
      <c r="F51" s="239"/>
      <c r="G51" s="272"/>
      <c r="H51" s="227">
        <f t="shared" si="0"/>
        <v>0</v>
      </c>
      <c r="I51" s="227">
        <f t="shared" si="1"/>
        <v>0</v>
      </c>
      <c r="J51" s="94"/>
      <c r="K51" s="97"/>
      <c r="L51" s="101"/>
      <c r="M51" s="85"/>
    </row>
    <row r="52" spans="2:13" ht="39.950000000000003" customHeight="1">
      <c r="B52" s="76">
        <v>39</v>
      </c>
      <c r="C52" s="77">
        <f>DataSiswa!B46</f>
        <v>0</v>
      </c>
      <c r="D52" s="78">
        <f>DataSiswa!C46</f>
        <v>0</v>
      </c>
      <c r="E52" s="239"/>
      <c r="F52" s="239"/>
      <c r="G52" s="272"/>
      <c r="H52" s="227">
        <f t="shared" si="0"/>
        <v>0</v>
      </c>
      <c r="I52" s="227">
        <f t="shared" si="1"/>
        <v>0</v>
      </c>
      <c r="J52" s="94"/>
      <c r="K52" s="97"/>
      <c r="L52" s="101"/>
      <c r="M52" s="85"/>
    </row>
    <row r="53" spans="2:13" ht="39.950000000000003" customHeight="1" thickBot="1">
      <c r="B53" s="76">
        <v>40</v>
      </c>
      <c r="C53" s="103">
        <f>DataSiswa!B47</f>
        <v>0</v>
      </c>
      <c r="D53" s="104">
        <f>DataSiswa!C47</f>
        <v>0</v>
      </c>
      <c r="E53" s="273"/>
      <c r="F53" s="273"/>
      <c r="G53" s="274"/>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pageSetup paperSize="9" orientation="portrait" horizontalDpi="4294967293" vertic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0070C0"/>
  </sheetPr>
  <dimension ref="B1:M54"/>
  <sheetViews>
    <sheetView topLeftCell="A43"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row>
    <row r="6" spans="2:13" ht="15.75" thickTop="1">
      <c r="B6" s="560" t="s">
        <v>38</v>
      </c>
      <c r="C6" s="561"/>
      <c r="D6" s="69" t="str">
        <f>DataGuru!C33</f>
        <v>Kimia</v>
      </c>
    </row>
    <row r="7" spans="2:13" ht="15.75" thickBot="1">
      <c r="B7" s="2" t="s">
        <v>46</v>
      </c>
      <c r="C7" s="3"/>
      <c r="D7" s="70" t="str">
        <f>DataGuru!D9</f>
        <v>2014/2015</v>
      </c>
    </row>
    <row r="8" spans="2:13" ht="17.25" thickTop="1" thickBot="1">
      <c r="B8" s="562" t="s">
        <v>4</v>
      </c>
      <c r="C8" s="563"/>
      <c r="D8" s="70" t="str">
        <f>DataGuru!D10</f>
        <v>XI MIA 4</v>
      </c>
      <c r="F8" s="564" t="s">
        <v>11</v>
      </c>
      <c r="G8" s="565"/>
      <c r="H8" s="71"/>
      <c r="I8" s="71"/>
      <c r="J8" s="543" t="s">
        <v>231</v>
      </c>
      <c r="K8" s="71"/>
    </row>
    <row r="9" spans="2:13" ht="15.75" customHeight="1" thickTop="1">
      <c r="B9" s="562" t="s">
        <v>47</v>
      </c>
      <c r="C9" s="563"/>
      <c r="D9" s="70" t="str">
        <f>DataGuru!D33</f>
        <v>Ernella, S.Pd</v>
      </c>
      <c r="F9" s="566">
        <f>DataGuru!E33</f>
        <v>3.16</v>
      </c>
      <c r="G9" s="567"/>
      <c r="H9" s="72"/>
      <c r="I9" s="72"/>
      <c r="J9" s="543"/>
      <c r="K9" s="72"/>
    </row>
    <row r="10" spans="2:13" ht="15.75" customHeight="1" thickBot="1">
      <c r="B10" s="570"/>
      <c r="C10" s="571"/>
      <c r="D10" s="4"/>
      <c r="F10" s="568"/>
      <c r="G10" s="569"/>
      <c r="H10" s="72"/>
      <c r="I10" s="25"/>
      <c r="J10" s="543"/>
      <c r="K10" s="72"/>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50.1" customHeight="1">
      <c r="B14" s="76">
        <v>1</v>
      </c>
      <c r="C14" s="77" t="str">
        <f>DataSiswa!B8</f>
        <v>9986980442</v>
      </c>
      <c r="D14" s="78" t="str">
        <f>DataSiswa!C8</f>
        <v>Aditya Taufik Sastra</v>
      </c>
      <c r="E14" s="242">
        <v>88</v>
      </c>
      <c r="F14" s="79">
        <v>90</v>
      </c>
      <c r="G14" s="80" t="s">
        <v>334</v>
      </c>
      <c r="H14" s="227">
        <f>(E14/100)*4</f>
        <v>3.52</v>
      </c>
      <c r="I14" s="227">
        <f>(F14/100)*4</f>
        <v>3.6</v>
      </c>
      <c r="J14" s="93" t="s">
        <v>549</v>
      </c>
      <c r="K14" s="96" t="s">
        <v>552</v>
      </c>
      <c r="L14" s="238" t="s">
        <v>554</v>
      </c>
      <c r="M14" s="81"/>
    </row>
    <row r="15" spans="2:13" ht="50.1" customHeight="1">
      <c r="B15" s="76">
        <v>2</v>
      </c>
      <c r="C15" s="77" t="str">
        <f>DataSiswa!B9</f>
        <v>9982907972</v>
      </c>
      <c r="D15" s="78" t="str">
        <f>DataSiswa!C9</f>
        <v>Angger Ghufron Pangestu</v>
      </c>
      <c r="E15" s="242">
        <v>85</v>
      </c>
      <c r="F15" s="79">
        <v>85</v>
      </c>
      <c r="G15" s="80" t="s">
        <v>24</v>
      </c>
      <c r="H15" s="227">
        <f t="shared" ref="H15:H53" si="0">(E15/100)*4</f>
        <v>3.4</v>
      </c>
      <c r="I15" s="227">
        <f t="shared" ref="I15:I53" si="1">(F15/100)*4</f>
        <v>3.4</v>
      </c>
      <c r="J15" s="93" t="s">
        <v>550</v>
      </c>
      <c r="K15" s="96" t="s">
        <v>552</v>
      </c>
      <c r="L15" s="238" t="s">
        <v>555</v>
      </c>
      <c r="M15" s="82"/>
    </row>
    <row r="16" spans="2:13" ht="50.1" customHeight="1">
      <c r="B16" s="76">
        <v>3</v>
      </c>
      <c r="C16" s="77" t="str">
        <f>DataSiswa!B10</f>
        <v>9983601594</v>
      </c>
      <c r="D16" s="78" t="str">
        <f>DataSiswa!C10</f>
        <v>Anjellia Novia Safitri</v>
      </c>
      <c r="E16" s="242">
        <v>90</v>
      </c>
      <c r="F16" s="79">
        <v>94</v>
      </c>
      <c r="G16" s="80" t="s">
        <v>334</v>
      </c>
      <c r="H16" s="227">
        <f t="shared" si="0"/>
        <v>3.6</v>
      </c>
      <c r="I16" s="227">
        <f t="shared" si="1"/>
        <v>3.76</v>
      </c>
      <c r="J16" s="93" t="s">
        <v>549</v>
      </c>
      <c r="K16" s="96" t="s">
        <v>552</v>
      </c>
      <c r="L16" s="238" t="s">
        <v>554</v>
      </c>
      <c r="M16" s="82"/>
    </row>
    <row r="17" spans="2:13" ht="50.1" customHeight="1">
      <c r="B17" s="76">
        <v>4</v>
      </c>
      <c r="C17" s="77" t="str">
        <f>DataSiswa!B11</f>
        <v>9989091797</v>
      </c>
      <c r="D17" s="78" t="str">
        <f>DataSiswa!C11</f>
        <v>Azis Fahrozi</v>
      </c>
      <c r="E17" s="242">
        <v>85</v>
      </c>
      <c r="F17" s="79">
        <v>85</v>
      </c>
      <c r="G17" s="80" t="s">
        <v>24</v>
      </c>
      <c r="H17" s="227">
        <f t="shared" si="0"/>
        <v>3.4</v>
      </c>
      <c r="I17" s="227">
        <f t="shared" si="1"/>
        <v>3.4</v>
      </c>
      <c r="J17" s="93" t="s">
        <v>550</v>
      </c>
      <c r="K17" s="96" t="s">
        <v>552</v>
      </c>
      <c r="L17" s="238" t="s">
        <v>555</v>
      </c>
      <c r="M17" s="82"/>
    </row>
    <row r="18" spans="2:13" ht="50.1" customHeight="1">
      <c r="B18" s="76">
        <v>5</v>
      </c>
      <c r="C18" s="77" t="str">
        <f>DataSiswa!B12</f>
        <v>9989983501</v>
      </c>
      <c r="D18" s="78" t="str">
        <f>DataSiswa!C12</f>
        <v>Berliana Monica</v>
      </c>
      <c r="E18" s="242">
        <v>87</v>
      </c>
      <c r="F18" s="79">
        <v>90</v>
      </c>
      <c r="G18" s="80" t="s">
        <v>334</v>
      </c>
      <c r="H18" s="227">
        <f t="shared" si="0"/>
        <v>3.48</v>
      </c>
      <c r="I18" s="227">
        <f t="shared" si="1"/>
        <v>3.6</v>
      </c>
      <c r="J18" s="93" t="s">
        <v>550</v>
      </c>
      <c r="K18" s="96" t="s">
        <v>552</v>
      </c>
      <c r="L18" s="238" t="s">
        <v>554</v>
      </c>
      <c r="M18" s="82"/>
    </row>
    <row r="19" spans="2:13" ht="50.1" customHeight="1">
      <c r="B19" s="76">
        <v>6</v>
      </c>
      <c r="C19" s="77" t="str">
        <f>DataSiswa!B13</f>
        <v>9970817548</v>
      </c>
      <c r="D19" s="78" t="str">
        <f>DataSiswa!C13</f>
        <v>Defri Nofriadi</v>
      </c>
      <c r="E19" s="242">
        <v>86</v>
      </c>
      <c r="F19" s="79">
        <v>90</v>
      </c>
      <c r="G19" s="80" t="s">
        <v>334</v>
      </c>
      <c r="H19" s="227">
        <f t="shared" si="0"/>
        <v>3.44</v>
      </c>
      <c r="I19" s="227">
        <f t="shared" si="1"/>
        <v>3.6</v>
      </c>
      <c r="J19" s="93" t="s">
        <v>550</v>
      </c>
      <c r="K19" s="96" t="s">
        <v>552</v>
      </c>
      <c r="L19" s="238" t="s">
        <v>554</v>
      </c>
      <c r="M19" s="82"/>
    </row>
    <row r="20" spans="2:13" ht="50.1" customHeight="1">
      <c r="B20" s="76">
        <v>7</v>
      </c>
      <c r="C20" s="77" t="str">
        <f>DataSiswa!B14</f>
        <v>9980817555</v>
      </c>
      <c r="D20" s="78" t="str">
        <f>DataSiswa!C14</f>
        <v>Dina Mardana Dulas</v>
      </c>
      <c r="E20" s="242">
        <v>85</v>
      </c>
      <c r="F20" s="79">
        <v>90</v>
      </c>
      <c r="G20" s="80" t="s">
        <v>334</v>
      </c>
      <c r="H20" s="227">
        <f t="shared" si="0"/>
        <v>3.4</v>
      </c>
      <c r="I20" s="227">
        <f t="shared" si="1"/>
        <v>3.6</v>
      </c>
      <c r="J20" s="93" t="s">
        <v>550</v>
      </c>
      <c r="K20" s="96" t="s">
        <v>552</v>
      </c>
      <c r="L20" s="238" t="s">
        <v>554</v>
      </c>
      <c r="M20" s="82"/>
    </row>
    <row r="21" spans="2:13" ht="50.1" customHeight="1">
      <c r="B21" s="76">
        <v>8</v>
      </c>
      <c r="C21" s="77" t="str">
        <f>DataSiswa!B15</f>
        <v>9980817812</v>
      </c>
      <c r="D21" s="78" t="str">
        <f>DataSiswa!C15</f>
        <v>Famella Putriadi</v>
      </c>
      <c r="E21" s="242">
        <v>87</v>
      </c>
      <c r="F21" s="79">
        <v>88</v>
      </c>
      <c r="G21" s="80" t="s">
        <v>334</v>
      </c>
      <c r="H21" s="227">
        <f t="shared" si="0"/>
        <v>3.48</v>
      </c>
      <c r="I21" s="227">
        <f t="shared" si="1"/>
        <v>3.52</v>
      </c>
      <c r="J21" s="93" t="s">
        <v>550</v>
      </c>
      <c r="K21" s="96" t="s">
        <v>552</v>
      </c>
      <c r="L21" s="238" t="s">
        <v>554</v>
      </c>
      <c r="M21" s="82"/>
    </row>
    <row r="22" spans="2:13" ht="50.1" customHeight="1">
      <c r="B22" s="76">
        <v>9</v>
      </c>
      <c r="C22" s="77" t="str">
        <f>DataSiswa!B16</f>
        <v>9986349049</v>
      </c>
      <c r="D22" s="78" t="str">
        <f>DataSiswa!C16</f>
        <v>Febrawati Fajlynd</v>
      </c>
      <c r="E22" s="242">
        <v>85</v>
      </c>
      <c r="F22" s="79">
        <v>86</v>
      </c>
      <c r="G22" s="80" t="s">
        <v>24</v>
      </c>
      <c r="H22" s="227">
        <f t="shared" si="0"/>
        <v>3.4</v>
      </c>
      <c r="I22" s="227">
        <f t="shared" si="1"/>
        <v>3.44</v>
      </c>
      <c r="J22" s="93" t="s">
        <v>550</v>
      </c>
      <c r="K22" s="96" t="s">
        <v>552</v>
      </c>
      <c r="L22" s="238" t="s">
        <v>555</v>
      </c>
      <c r="M22" s="82"/>
    </row>
    <row r="23" spans="2:13" ht="39.950000000000003" customHeight="1">
      <c r="B23" s="76">
        <v>10</v>
      </c>
      <c r="C23" s="77" t="str">
        <f>DataSiswa!B17</f>
        <v>9980673410</v>
      </c>
      <c r="D23" s="78" t="str">
        <f>DataSiswa!C17</f>
        <v>Fierro Perdana Ibrahim</v>
      </c>
      <c r="E23" s="242">
        <v>82</v>
      </c>
      <c r="F23" s="79">
        <v>83</v>
      </c>
      <c r="G23" s="80" t="s">
        <v>24</v>
      </c>
      <c r="H23" s="227">
        <f t="shared" si="0"/>
        <v>3.28</v>
      </c>
      <c r="I23" s="227">
        <f t="shared" si="1"/>
        <v>3.32</v>
      </c>
      <c r="J23" s="93" t="s">
        <v>551</v>
      </c>
      <c r="K23" s="96" t="s">
        <v>552</v>
      </c>
      <c r="L23" s="238" t="s">
        <v>555</v>
      </c>
      <c r="M23" s="82"/>
    </row>
    <row r="24" spans="2:13" ht="50.1" customHeight="1">
      <c r="B24" s="76">
        <v>11</v>
      </c>
      <c r="C24" s="77" t="str">
        <f>DataSiswa!B18</f>
        <v>9980817833</v>
      </c>
      <c r="D24" s="78" t="str">
        <f>DataSiswa!C18</f>
        <v>Jihan Salsabilla</v>
      </c>
      <c r="E24" s="242">
        <v>87</v>
      </c>
      <c r="F24" s="79">
        <v>90</v>
      </c>
      <c r="G24" s="80" t="s">
        <v>334</v>
      </c>
      <c r="H24" s="227">
        <f t="shared" si="0"/>
        <v>3.48</v>
      </c>
      <c r="I24" s="227">
        <f t="shared" si="1"/>
        <v>3.6</v>
      </c>
      <c r="J24" s="93" t="s">
        <v>550</v>
      </c>
      <c r="K24" s="96" t="s">
        <v>553</v>
      </c>
      <c r="L24" s="238" t="s">
        <v>554</v>
      </c>
      <c r="M24" s="82"/>
    </row>
    <row r="25" spans="2:13" ht="50.1" customHeight="1">
      <c r="B25" s="76">
        <v>12</v>
      </c>
      <c r="C25" s="77" t="str">
        <f>DataSiswa!B19</f>
        <v>9980065874</v>
      </c>
      <c r="D25" s="78" t="str">
        <f>DataSiswa!C19</f>
        <v>Karina Safira Rannas</v>
      </c>
      <c r="E25" s="242">
        <v>88</v>
      </c>
      <c r="F25" s="79">
        <v>89</v>
      </c>
      <c r="G25" s="80" t="s">
        <v>334</v>
      </c>
      <c r="H25" s="227">
        <f t="shared" si="0"/>
        <v>3.52</v>
      </c>
      <c r="I25" s="227">
        <f t="shared" si="1"/>
        <v>3.56</v>
      </c>
      <c r="J25" s="93" t="s">
        <v>550</v>
      </c>
      <c r="K25" s="96" t="s">
        <v>552</v>
      </c>
      <c r="L25" s="238" t="s">
        <v>554</v>
      </c>
      <c r="M25" s="82"/>
    </row>
    <row r="26" spans="2:13" ht="50.1" customHeight="1">
      <c r="B26" s="76">
        <v>13</v>
      </c>
      <c r="C26" s="77" t="str">
        <f>DataSiswa!B20</f>
        <v>9970816998</v>
      </c>
      <c r="D26" s="78" t="str">
        <f>DataSiswa!C20</f>
        <v>Loura Oktaviola</v>
      </c>
      <c r="E26" s="242">
        <v>87</v>
      </c>
      <c r="F26" s="79">
        <v>88</v>
      </c>
      <c r="G26" s="80" t="s">
        <v>334</v>
      </c>
      <c r="H26" s="227">
        <f t="shared" si="0"/>
        <v>3.48</v>
      </c>
      <c r="I26" s="227">
        <f t="shared" si="1"/>
        <v>3.52</v>
      </c>
      <c r="J26" s="93" t="s">
        <v>550</v>
      </c>
      <c r="K26" s="96" t="s">
        <v>552</v>
      </c>
      <c r="L26" s="428" t="s">
        <v>554</v>
      </c>
      <c r="M26" s="84"/>
    </row>
    <row r="27" spans="2:13" ht="50.1" customHeight="1">
      <c r="B27" s="76">
        <v>14</v>
      </c>
      <c r="C27" s="77" t="str">
        <f>DataSiswa!B21</f>
        <v>9982095456</v>
      </c>
      <c r="D27" s="78" t="str">
        <f>DataSiswa!C21</f>
        <v>Lauren Dwina Arini</v>
      </c>
      <c r="E27" s="242">
        <v>85</v>
      </c>
      <c r="F27" s="79">
        <v>87</v>
      </c>
      <c r="G27" s="80" t="s">
        <v>24</v>
      </c>
      <c r="H27" s="227">
        <f t="shared" si="0"/>
        <v>3.4</v>
      </c>
      <c r="I27" s="227">
        <f t="shared" si="1"/>
        <v>3.48</v>
      </c>
      <c r="J27" s="93" t="s">
        <v>550</v>
      </c>
      <c r="K27" s="96" t="s">
        <v>552</v>
      </c>
      <c r="L27" s="428" t="s">
        <v>555</v>
      </c>
      <c r="M27" s="85"/>
    </row>
    <row r="28" spans="2:13" ht="50.1" customHeight="1">
      <c r="B28" s="76">
        <v>15</v>
      </c>
      <c r="C28" s="77" t="str">
        <f>DataSiswa!B22</f>
        <v>9980817839</v>
      </c>
      <c r="D28" s="78" t="str">
        <f>DataSiswa!C22</f>
        <v>Leoni Syagna Velia</v>
      </c>
      <c r="E28" s="242">
        <v>89</v>
      </c>
      <c r="F28" s="79">
        <v>89</v>
      </c>
      <c r="G28" s="79" t="s">
        <v>334</v>
      </c>
      <c r="H28" s="227">
        <f t="shared" si="0"/>
        <v>3.56</v>
      </c>
      <c r="I28" s="227">
        <f t="shared" si="1"/>
        <v>3.56</v>
      </c>
      <c r="J28" s="420" t="s">
        <v>549</v>
      </c>
      <c r="K28" s="424" t="s">
        <v>552</v>
      </c>
      <c r="L28" s="428" t="s">
        <v>554</v>
      </c>
      <c r="M28" s="85"/>
    </row>
    <row r="29" spans="2:13" ht="50.1" customHeight="1">
      <c r="B29" s="76">
        <v>16</v>
      </c>
      <c r="C29" s="77" t="str">
        <f>DataSiswa!B23</f>
        <v>9982885002</v>
      </c>
      <c r="D29" s="78" t="str">
        <f>DataSiswa!C23</f>
        <v>Mia Larisa Waskito</v>
      </c>
      <c r="E29" s="242">
        <v>88</v>
      </c>
      <c r="F29" s="79">
        <v>92</v>
      </c>
      <c r="G29" s="79" t="s">
        <v>334</v>
      </c>
      <c r="H29" s="227">
        <f t="shared" si="0"/>
        <v>3.52</v>
      </c>
      <c r="I29" s="227">
        <f t="shared" si="1"/>
        <v>3.68</v>
      </c>
      <c r="J29" s="420" t="s">
        <v>549</v>
      </c>
      <c r="K29" s="424" t="s">
        <v>552</v>
      </c>
      <c r="L29" s="428" t="s">
        <v>554</v>
      </c>
      <c r="M29" s="85"/>
    </row>
    <row r="30" spans="2:13" ht="50.1" customHeight="1">
      <c r="B30" s="76">
        <v>17</v>
      </c>
      <c r="C30" s="77" t="str">
        <f>DataSiswa!B24</f>
        <v>9983996707</v>
      </c>
      <c r="D30" s="78" t="str">
        <f>DataSiswa!C24</f>
        <v>Muhammad Fadel</v>
      </c>
      <c r="E30" s="242">
        <v>88</v>
      </c>
      <c r="F30" s="79">
        <v>92</v>
      </c>
      <c r="G30" s="79" t="s">
        <v>334</v>
      </c>
      <c r="H30" s="227">
        <f t="shared" si="0"/>
        <v>3.52</v>
      </c>
      <c r="I30" s="227">
        <f t="shared" si="1"/>
        <v>3.68</v>
      </c>
      <c r="J30" s="420" t="s">
        <v>549</v>
      </c>
      <c r="K30" s="424" t="s">
        <v>552</v>
      </c>
      <c r="L30" s="428" t="s">
        <v>554</v>
      </c>
      <c r="M30" s="85"/>
    </row>
    <row r="31" spans="2:13" ht="50.1" customHeight="1">
      <c r="B31" s="76">
        <v>18</v>
      </c>
      <c r="C31" s="77" t="str">
        <f>DataSiswa!B25</f>
        <v>9981328630</v>
      </c>
      <c r="D31" s="78" t="str">
        <f>DataSiswa!C25</f>
        <v>Muhammad Ilham Fajri</v>
      </c>
      <c r="E31" s="242">
        <v>85</v>
      </c>
      <c r="F31" s="79">
        <v>88</v>
      </c>
      <c r="G31" s="79" t="s">
        <v>334</v>
      </c>
      <c r="H31" s="227">
        <f t="shared" si="0"/>
        <v>3.4</v>
      </c>
      <c r="I31" s="227">
        <f t="shared" si="1"/>
        <v>3.52</v>
      </c>
      <c r="J31" s="420" t="s">
        <v>550</v>
      </c>
      <c r="K31" s="424" t="s">
        <v>552</v>
      </c>
      <c r="L31" s="428" t="s">
        <v>554</v>
      </c>
      <c r="M31" s="85"/>
    </row>
    <row r="32" spans="2:13" ht="50.1" customHeight="1">
      <c r="B32" s="76">
        <v>19</v>
      </c>
      <c r="C32" s="77" t="str">
        <f>DataSiswa!B26</f>
        <v>9980830799</v>
      </c>
      <c r="D32" s="78" t="str">
        <f>DataSiswa!C26</f>
        <v>Muhammad Irfan</v>
      </c>
      <c r="E32" s="242">
        <v>93</v>
      </c>
      <c r="F32" s="79">
        <v>94</v>
      </c>
      <c r="G32" s="79" t="s">
        <v>334</v>
      </c>
      <c r="H32" s="227">
        <f t="shared" si="0"/>
        <v>3.72</v>
      </c>
      <c r="I32" s="227">
        <f t="shared" si="1"/>
        <v>3.76</v>
      </c>
      <c r="J32" s="420" t="s">
        <v>549</v>
      </c>
      <c r="K32" s="424" t="s">
        <v>552</v>
      </c>
      <c r="L32" s="428" t="s">
        <v>556</v>
      </c>
      <c r="M32" s="85"/>
    </row>
    <row r="33" spans="2:13" ht="50.1" customHeight="1">
      <c r="B33" s="76">
        <v>20</v>
      </c>
      <c r="C33" s="77" t="str">
        <f>DataSiswa!B27</f>
        <v>9981704177</v>
      </c>
      <c r="D33" s="78" t="str">
        <f>DataSiswa!C27</f>
        <v>Naura Cantika</v>
      </c>
      <c r="E33" s="242">
        <v>91</v>
      </c>
      <c r="F33" s="79">
        <v>92</v>
      </c>
      <c r="G33" s="79" t="s">
        <v>334</v>
      </c>
      <c r="H33" s="227">
        <f t="shared" si="0"/>
        <v>3.64</v>
      </c>
      <c r="I33" s="227">
        <f t="shared" si="1"/>
        <v>3.68</v>
      </c>
      <c r="J33" s="420" t="s">
        <v>549</v>
      </c>
      <c r="K33" s="424" t="s">
        <v>552</v>
      </c>
      <c r="L33" s="428" t="s">
        <v>554</v>
      </c>
      <c r="M33" s="85"/>
    </row>
    <row r="34" spans="2:13" ht="50.1" customHeight="1">
      <c r="B34" s="76">
        <v>21</v>
      </c>
      <c r="C34" s="77" t="str">
        <f>DataSiswa!B28</f>
        <v>9980810523</v>
      </c>
      <c r="D34" s="78" t="str">
        <f>DataSiswa!C28</f>
        <v>Nurul Putri Salsabila</v>
      </c>
      <c r="E34" s="242">
        <v>87</v>
      </c>
      <c r="F34" s="79">
        <v>87</v>
      </c>
      <c r="G34" s="79" t="s">
        <v>334</v>
      </c>
      <c r="H34" s="227">
        <f t="shared" si="0"/>
        <v>3.48</v>
      </c>
      <c r="I34" s="227">
        <f t="shared" si="1"/>
        <v>3.48</v>
      </c>
      <c r="J34" s="420" t="s">
        <v>550</v>
      </c>
      <c r="K34" s="424" t="s">
        <v>552</v>
      </c>
      <c r="L34" s="428" t="s">
        <v>554</v>
      </c>
      <c r="M34" s="85"/>
    </row>
    <row r="35" spans="2:13" ht="50.1" customHeight="1">
      <c r="B35" s="76">
        <v>22</v>
      </c>
      <c r="C35" s="77" t="str">
        <f>DataSiswa!B29</f>
        <v>9998982066</v>
      </c>
      <c r="D35" s="78" t="str">
        <f>DataSiswa!C29</f>
        <v>Rafi Fikriya Riza</v>
      </c>
      <c r="E35" s="242">
        <v>88</v>
      </c>
      <c r="F35" s="79">
        <v>90</v>
      </c>
      <c r="G35" s="79" t="s">
        <v>334</v>
      </c>
      <c r="H35" s="227">
        <f t="shared" si="0"/>
        <v>3.52</v>
      </c>
      <c r="I35" s="227">
        <f t="shared" si="1"/>
        <v>3.6</v>
      </c>
      <c r="J35" s="420" t="s">
        <v>549</v>
      </c>
      <c r="K35" s="424" t="s">
        <v>552</v>
      </c>
      <c r="L35" s="428" t="s">
        <v>554</v>
      </c>
      <c r="M35" s="85"/>
    </row>
    <row r="36" spans="2:13" ht="39.950000000000003" customHeight="1">
      <c r="B36" s="76">
        <v>23</v>
      </c>
      <c r="C36" s="77" t="str">
        <f>DataSiswa!B30</f>
        <v>9985967994</v>
      </c>
      <c r="D36" s="78" t="str">
        <f>DataSiswa!C30</f>
        <v>Restu Tria Bahri</v>
      </c>
      <c r="E36" s="242">
        <v>86</v>
      </c>
      <c r="F36" s="79">
        <v>88</v>
      </c>
      <c r="G36" s="79" t="s">
        <v>334</v>
      </c>
      <c r="H36" s="227">
        <f t="shared" si="0"/>
        <v>3.44</v>
      </c>
      <c r="I36" s="227">
        <f t="shared" si="1"/>
        <v>3.52</v>
      </c>
      <c r="J36" s="420" t="s">
        <v>551</v>
      </c>
      <c r="K36" s="424" t="s">
        <v>552</v>
      </c>
      <c r="L36" s="428" t="s">
        <v>554</v>
      </c>
      <c r="M36" s="85"/>
    </row>
    <row r="37" spans="2:13" ht="50.1" customHeight="1">
      <c r="B37" s="76">
        <v>24</v>
      </c>
      <c r="C37" s="77" t="str">
        <f>DataSiswa!B31</f>
        <v>9980799351</v>
      </c>
      <c r="D37" s="78" t="str">
        <f>DataSiswa!C31</f>
        <v>Rifka Esofita</v>
      </c>
      <c r="E37" s="242">
        <v>86</v>
      </c>
      <c r="F37" s="79">
        <v>86</v>
      </c>
      <c r="G37" s="79" t="s">
        <v>24</v>
      </c>
      <c r="H37" s="227">
        <f t="shared" si="0"/>
        <v>3.44</v>
      </c>
      <c r="I37" s="227">
        <f t="shared" si="1"/>
        <v>3.44</v>
      </c>
      <c r="J37" s="420" t="s">
        <v>550</v>
      </c>
      <c r="K37" s="424" t="s">
        <v>552</v>
      </c>
      <c r="L37" s="428" t="s">
        <v>555</v>
      </c>
      <c r="M37" s="85"/>
    </row>
    <row r="38" spans="2:13" ht="50.1" customHeight="1">
      <c r="B38" s="76">
        <v>25</v>
      </c>
      <c r="C38" s="77" t="str">
        <f>DataSiswa!B32</f>
        <v>9982095495</v>
      </c>
      <c r="D38" s="78" t="str">
        <f>DataSiswa!C32</f>
        <v>Rifo Ranofan</v>
      </c>
      <c r="E38" s="242">
        <v>88</v>
      </c>
      <c r="F38" s="79">
        <v>90</v>
      </c>
      <c r="G38" s="79" t="s">
        <v>334</v>
      </c>
      <c r="H38" s="227">
        <f t="shared" si="0"/>
        <v>3.52</v>
      </c>
      <c r="I38" s="227">
        <f t="shared" si="1"/>
        <v>3.6</v>
      </c>
      <c r="J38" s="420" t="s">
        <v>549</v>
      </c>
      <c r="K38" s="424" t="s">
        <v>552</v>
      </c>
      <c r="L38" s="428" t="s">
        <v>554</v>
      </c>
      <c r="M38" s="85"/>
    </row>
    <row r="39" spans="2:13" ht="50.1" customHeight="1">
      <c r="B39" s="76">
        <v>26</v>
      </c>
      <c r="C39" s="77" t="str">
        <f>DataSiswa!B33</f>
        <v>9985858026</v>
      </c>
      <c r="D39" s="78" t="str">
        <f>DataSiswa!C33</f>
        <v>Stephany Widyanti</v>
      </c>
      <c r="E39" s="242">
        <v>85</v>
      </c>
      <c r="F39" s="79">
        <v>86</v>
      </c>
      <c r="G39" s="86" t="s">
        <v>24</v>
      </c>
      <c r="H39" s="227">
        <f t="shared" si="0"/>
        <v>3.4</v>
      </c>
      <c r="I39" s="227">
        <f t="shared" si="1"/>
        <v>3.44</v>
      </c>
      <c r="J39" s="420" t="s">
        <v>550</v>
      </c>
      <c r="K39" s="424" t="s">
        <v>552</v>
      </c>
      <c r="L39" s="428" t="s">
        <v>555</v>
      </c>
      <c r="M39" s="85"/>
    </row>
    <row r="40" spans="2:13" ht="50.1" customHeight="1">
      <c r="B40" s="76">
        <v>27</v>
      </c>
      <c r="C40" s="77" t="str">
        <f>DataSiswa!B34</f>
        <v>9980818512</v>
      </c>
      <c r="D40" s="78" t="str">
        <f>DataSiswa!C34</f>
        <v>Tiara Yulianti</v>
      </c>
      <c r="E40" s="242">
        <v>87</v>
      </c>
      <c r="F40" s="79">
        <v>87</v>
      </c>
      <c r="G40" s="86" t="s">
        <v>334</v>
      </c>
      <c r="H40" s="227">
        <f t="shared" si="0"/>
        <v>3.48</v>
      </c>
      <c r="I40" s="227">
        <f t="shared" si="1"/>
        <v>3.48</v>
      </c>
      <c r="J40" s="420" t="s">
        <v>550</v>
      </c>
      <c r="K40" s="424" t="s">
        <v>552</v>
      </c>
      <c r="L40" s="428" t="s">
        <v>554</v>
      </c>
      <c r="M40" s="85"/>
    </row>
    <row r="41" spans="2:13" ht="50.1" customHeight="1">
      <c r="B41" s="76">
        <v>28</v>
      </c>
      <c r="C41" s="77" t="str">
        <f>DataSiswa!B35</f>
        <v>9982393794</v>
      </c>
      <c r="D41" s="78" t="str">
        <f>DataSiswa!C35</f>
        <v>Tika Wandira</v>
      </c>
      <c r="E41" s="242">
        <v>84</v>
      </c>
      <c r="F41" s="79">
        <v>86</v>
      </c>
      <c r="G41" s="86" t="s">
        <v>24</v>
      </c>
      <c r="H41" s="227">
        <f t="shared" si="0"/>
        <v>3.36</v>
      </c>
      <c r="I41" s="227">
        <f t="shared" si="1"/>
        <v>3.44</v>
      </c>
      <c r="J41" s="420" t="s">
        <v>550</v>
      </c>
      <c r="K41" s="424" t="s">
        <v>552</v>
      </c>
      <c r="L41" s="428" t="s">
        <v>555</v>
      </c>
      <c r="M41" s="85"/>
    </row>
    <row r="42" spans="2:13" ht="50.1" customHeight="1">
      <c r="B42" s="76">
        <v>29</v>
      </c>
      <c r="C42" s="77" t="str">
        <f>DataSiswa!B36</f>
        <v>9980818720</v>
      </c>
      <c r="D42" s="78" t="str">
        <f>DataSiswa!C36</f>
        <v>Ulfa Febriyani</v>
      </c>
      <c r="E42" s="242">
        <v>83</v>
      </c>
      <c r="F42" s="79">
        <v>84</v>
      </c>
      <c r="G42" s="86" t="s">
        <v>24</v>
      </c>
      <c r="H42" s="227">
        <f t="shared" si="0"/>
        <v>3.32</v>
      </c>
      <c r="I42" s="227">
        <f t="shared" si="1"/>
        <v>3.36</v>
      </c>
      <c r="J42" s="420" t="s">
        <v>550</v>
      </c>
      <c r="K42" s="424" t="s">
        <v>552</v>
      </c>
      <c r="L42" s="428" t="s">
        <v>555</v>
      </c>
      <c r="M42" s="85"/>
    </row>
    <row r="43" spans="2:13" ht="50.1" customHeight="1">
      <c r="B43" s="76">
        <v>30</v>
      </c>
      <c r="C43" s="77" t="str">
        <f>DataSiswa!B37</f>
        <v>9990756408</v>
      </c>
      <c r="D43" s="78" t="str">
        <f>DataSiswa!C37</f>
        <v>Valdy Filando Sardi</v>
      </c>
      <c r="E43" s="242">
        <v>90</v>
      </c>
      <c r="F43" s="79">
        <v>90</v>
      </c>
      <c r="G43" s="86" t="s">
        <v>334</v>
      </c>
      <c r="H43" s="227">
        <f t="shared" si="0"/>
        <v>3.6</v>
      </c>
      <c r="I43" s="227">
        <f t="shared" si="1"/>
        <v>3.6</v>
      </c>
      <c r="J43" s="420" t="s">
        <v>549</v>
      </c>
      <c r="K43" s="424" t="s">
        <v>552</v>
      </c>
      <c r="L43" s="428" t="s">
        <v>554</v>
      </c>
      <c r="M43" s="85"/>
    </row>
    <row r="44" spans="2:13" ht="50.1" customHeight="1">
      <c r="B44" s="76">
        <v>31</v>
      </c>
      <c r="C44" s="77" t="str">
        <f>DataSiswa!B38</f>
        <v>9980816670</v>
      </c>
      <c r="D44" s="78" t="str">
        <f>DataSiswa!C38</f>
        <v>Vonny Maitaveri</v>
      </c>
      <c r="E44" s="242">
        <v>87</v>
      </c>
      <c r="F44" s="79">
        <v>88</v>
      </c>
      <c r="G44" s="86" t="s">
        <v>334</v>
      </c>
      <c r="H44" s="227">
        <f t="shared" si="0"/>
        <v>3.48</v>
      </c>
      <c r="I44" s="227">
        <f t="shared" si="1"/>
        <v>3.52</v>
      </c>
      <c r="J44" s="420" t="s">
        <v>550</v>
      </c>
      <c r="K44" s="424" t="s">
        <v>552</v>
      </c>
      <c r="L44" s="428" t="s">
        <v>554</v>
      </c>
      <c r="M44" s="85"/>
    </row>
    <row r="45" spans="2:13" ht="50.1" customHeight="1">
      <c r="B45" s="76">
        <v>32</v>
      </c>
      <c r="C45" s="77" t="str">
        <f>DataSiswa!B39</f>
        <v>9982889268</v>
      </c>
      <c r="D45" s="78" t="str">
        <f>DataSiswa!C39</f>
        <v>Wahyu Yolanda</v>
      </c>
      <c r="E45" s="242">
        <v>83</v>
      </c>
      <c r="F45" s="79">
        <v>84</v>
      </c>
      <c r="G45" s="86" t="s">
        <v>334</v>
      </c>
      <c r="H45" s="227">
        <f t="shared" si="0"/>
        <v>3.32</v>
      </c>
      <c r="I45" s="227">
        <f t="shared" si="1"/>
        <v>3.36</v>
      </c>
      <c r="J45" s="420" t="s">
        <v>550</v>
      </c>
      <c r="K45" s="424" t="s">
        <v>552</v>
      </c>
      <c r="L45" s="428" t="s">
        <v>554</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C00000"/>
  </sheetPr>
  <dimension ref="B1:M54"/>
  <sheetViews>
    <sheetView topLeftCell="B9" zoomScale="70" zoomScaleNormal="70" workbookViewId="0">
      <selection activeCell="B14" sqref="B14:B53"/>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0" width="79.42578125" style="61" customWidth="1"/>
    <col min="11" max="11" width="49"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c r="H5" s="147"/>
    </row>
    <row r="6" spans="2:13" ht="15.75" thickTop="1">
      <c r="B6" s="560" t="s">
        <v>38</v>
      </c>
      <c r="C6" s="561"/>
      <c r="D6" s="69" t="str">
        <f>DataGuru!C35</f>
        <v>Ekonomi</v>
      </c>
      <c r="H6" s="147"/>
    </row>
    <row r="7" spans="2:13" ht="15.75" thickBot="1">
      <c r="B7" s="2" t="s">
        <v>46</v>
      </c>
      <c r="C7" s="3"/>
      <c r="D7" s="70" t="str">
        <f>DataGuru!D9</f>
        <v>2014/2015</v>
      </c>
    </row>
    <row r="8" spans="2:13" ht="17.25" thickTop="1" thickBot="1">
      <c r="B8" s="562" t="s">
        <v>4</v>
      </c>
      <c r="C8" s="563"/>
      <c r="D8" s="70" t="str">
        <f>DataGuru!D10</f>
        <v>XI MIA 4</v>
      </c>
      <c r="F8" s="564" t="s">
        <v>11</v>
      </c>
      <c r="G8" s="565"/>
      <c r="H8" s="148"/>
      <c r="I8" s="148"/>
      <c r="J8" s="572" t="s">
        <v>231</v>
      </c>
      <c r="K8" s="148"/>
    </row>
    <row r="9" spans="2:13" ht="15.75" customHeight="1" thickTop="1">
      <c r="B9" s="562" t="s">
        <v>47</v>
      </c>
      <c r="C9" s="563"/>
      <c r="D9" s="70">
        <f>DataGuru!D34</f>
        <v>0</v>
      </c>
      <c r="F9" s="566">
        <f>DataGuru!E35</f>
        <v>3.16</v>
      </c>
      <c r="G9" s="567"/>
      <c r="H9" s="149"/>
      <c r="I9" s="149"/>
      <c r="J9" s="572"/>
      <c r="K9" s="149"/>
    </row>
    <row r="10" spans="2:13" ht="15.75" customHeight="1" thickBot="1">
      <c r="B10" s="570"/>
      <c r="C10" s="571"/>
      <c r="D10" s="4"/>
      <c r="F10" s="568"/>
      <c r="G10" s="569"/>
      <c r="H10" s="149"/>
      <c r="I10" s="147"/>
      <c r="J10" s="572"/>
      <c r="K10" s="149"/>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60" customHeight="1">
      <c r="B14" s="76">
        <v>1</v>
      </c>
      <c r="C14" s="77" t="str">
        <f>DataSiswa!B8</f>
        <v>9986980442</v>
      </c>
      <c r="D14" s="78" t="str">
        <f>DataSiswa!C8</f>
        <v>Aditya Taufik Sastra</v>
      </c>
      <c r="E14" s="242">
        <v>85</v>
      </c>
      <c r="F14" s="79">
        <v>88</v>
      </c>
      <c r="G14" s="80" t="s">
        <v>334</v>
      </c>
      <c r="H14" s="227">
        <f>(E14/100)*4</f>
        <v>3.4</v>
      </c>
      <c r="I14" s="227">
        <f>(F14/100)*4</f>
        <v>3.52</v>
      </c>
      <c r="J14" s="395" t="s">
        <v>543</v>
      </c>
      <c r="K14" s="398" t="s">
        <v>546</v>
      </c>
      <c r="L14" s="401" t="s">
        <v>383</v>
      </c>
      <c r="M14" s="81"/>
    </row>
    <row r="15" spans="2:13" ht="60" customHeight="1">
      <c r="B15" s="76">
        <v>2</v>
      </c>
      <c r="C15" s="77" t="str">
        <f>DataSiswa!B9</f>
        <v>9982907972</v>
      </c>
      <c r="D15" s="78" t="str">
        <f>DataSiswa!C9</f>
        <v>Angger Ghufron Pangestu</v>
      </c>
      <c r="E15" s="242">
        <v>85</v>
      </c>
      <c r="F15" s="79">
        <v>85</v>
      </c>
      <c r="G15" s="80" t="s">
        <v>334</v>
      </c>
      <c r="H15" s="227">
        <f t="shared" ref="H15:H53" si="0">(E15/100)*4</f>
        <v>3.4</v>
      </c>
      <c r="I15" s="227">
        <f t="shared" ref="I15:I53" si="1">(F15/100)*4</f>
        <v>3.4</v>
      </c>
      <c r="J15" s="395" t="s">
        <v>543</v>
      </c>
      <c r="K15" s="398" t="s">
        <v>546</v>
      </c>
      <c r="L15" s="401" t="s">
        <v>383</v>
      </c>
      <c r="M15" s="82"/>
    </row>
    <row r="16" spans="2:13" ht="60" customHeight="1">
      <c r="B16" s="76">
        <v>3</v>
      </c>
      <c r="C16" s="77" t="str">
        <f>DataSiswa!B10</f>
        <v>9983601594</v>
      </c>
      <c r="D16" s="78" t="str">
        <f>DataSiswa!C10</f>
        <v>Anjellia Novia Safitri</v>
      </c>
      <c r="E16" s="242">
        <v>90</v>
      </c>
      <c r="F16" s="79">
        <v>88</v>
      </c>
      <c r="G16" s="80" t="s">
        <v>334</v>
      </c>
      <c r="H16" s="227">
        <f t="shared" si="0"/>
        <v>3.6</v>
      </c>
      <c r="I16" s="227">
        <f t="shared" si="1"/>
        <v>3.52</v>
      </c>
      <c r="J16" s="395" t="s">
        <v>544</v>
      </c>
      <c r="K16" s="398" t="s">
        <v>546</v>
      </c>
      <c r="L16" s="401" t="s">
        <v>383</v>
      </c>
      <c r="M16" s="82"/>
    </row>
    <row r="17" spans="2:13" ht="60" customHeight="1">
      <c r="B17" s="76">
        <v>4</v>
      </c>
      <c r="C17" s="77" t="str">
        <f>DataSiswa!B11</f>
        <v>9989091797</v>
      </c>
      <c r="D17" s="78" t="str">
        <f>DataSiswa!C11</f>
        <v>Azis Fahrozi</v>
      </c>
      <c r="E17" s="242">
        <v>85</v>
      </c>
      <c r="F17" s="79">
        <v>80</v>
      </c>
      <c r="G17" s="80" t="s">
        <v>24</v>
      </c>
      <c r="H17" s="227">
        <f t="shared" si="0"/>
        <v>3.4</v>
      </c>
      <c r="I17" s="227">
        <f t="shared" si="1"/>
        <v>3.2</v>
      </c>
      <c r="J17" s="395" t="s">
        <v>543</v>
      </c>
      <c r="K17" s="398" t="s">
        <v>546</v>
      </c>
      <c r="L17" s="401" t="s">
        <v>382</v>
      </c>
      <c r="M17" s="82"/>
    </row>
    <row r="18" spans="2:13" ht="60" customHeight="1">
      <c r="B18" s="76">
        <v>5</v>
      </c>
      <c r="C18" s="77" t="str">
        <f>DataSiswa!B12</f>
        <v>9989983501</v>
      </c>
      <c r="D18" s="78" t="str">
        <f>DataSiswa!C12</f>
        <v>Berliana Monica</v>
      </c>
      <c r="E18" s="242">
        <v>88</v>
      </c>
      <c r="F18" s="79">
        <v>88</v>
      </c>
      <c r="G18" s="80" t="s">
        <v>334</v>
      </c>
      <c r="H18" s="227">
        <f t="shared" si="0"/>
        <v>3.52</v>
      </c>
      <c r="I18" s="227">
        <f t="shared" si="1"/>
        <v>3.52</v>
      </c>
      <c r="J18" s="395" t="s">
        <v>544</v>
      </c>
      <c r="K18" s="398" t="s">
        <v>546</v>
      </c>
      <c r="L18" s="401" t="s">
        <v>383</v>
      </c>
      <c r="M18" s="82"/>
    </row>
    <row r="19" spans="2:13" ht="60" customHeight="1">
      <c r="B19" s="76">
        <v>6</v>
      </c>
      <c r="C19" s="77" t="str">
        <f>DataSiswa!B13</f>
        <v>9970817548</v>
      </c>
      <c r="D19" s="78" t="str">
        <f>DataSiswa!C13</f>
        <v>Defri Nofriadi</v>
      </c>
      <c r="E19" s="242">
        <v>88</v>
      </c>
      <c r="F19" s="79">
        <v>88</v>
      </c>
      <c r="G19" s="80" t="s">
        <v>334</v>
      </c>
      <c r="H19" s="227">
        <f t="shared" si="0"/>
        <v>3.52</v>
      </c>
      <c r="I19" s="227">
        <f t="shared" si="1"/>
        <v>3.52</v>
      </c>
      <c r="J19" s="395" t="s">
        <v>544</v>
      </c>
      <c r="K19" s="398" t="s">
        <v>546</v>
      </c>
      <c r="L19" s="401" t="s">
        <v>383</v>
      </c>
      <c r="M19" s="82"/>
    </row>
    <row r="20" spans="2:13" ht="60" customHeight="1">
      <c r="B20" s="76">
        <v>7</v>
      </c>
      <c r="C20" s="77" t="str">
        <f>DataSiswa!B14</f>
        <v>9980817555</v>
      </c>
      <c r="D20" s="78" t="str">
        <f>DataSiswa!C14</f>
        <v>Dina Mardana Dulas</v>
      </c>
      <c r="E20" s="242">
        <v>85</v>
      </c>
      <c r="F20" s="79">
        <v>88</v>
      </c>
      <c r="G20" s="80" t="s">
        <v>334</v>
      </c>
      <c r="H20" s="227">
        <f t="shared" si="0"/>
        <v>3.4</v>
      </c>
      <c r="I20" s="227">
        <f t="shared" si="1"/>
        <v>3.52</v>
      </c>
      <c r="J20" s="395" t="s">
        <v>543</v>
      </c>
      <c r="K20" s="398" t="s">
        <v>546</v>
      </c>
      <c r="L20" s="401" t="s">
        <v>383</v>
      </c>
      <c r="M20" s="82"/>
    </row>
    <row r="21" spans="2:13" ht="60" customHeight="1">
      <c r="B21" s="76">
        <v>8</v>
      </c>
      <c r="C21" s="77" t="str">
        <f>DataSiswa!B15</f>
        <v>9980817812</v>
      </c>
      <c r="D21" s="78" t="str">
        <f>DataSiswa!C15</f>
        <v>Famella Putriadi</v>
      </c>
      <c r="E21" s="242">
        <v>89</v>
      </c>
      <c r="F21" s="79">
        <v>87</v>
      </c>
      <c r="G21" s="80" t="s">
        <v>334</v>
      </c>
      <c r="H21" s="227">
        <f t="shared" si="0"/>
        <v>3.56</v>
      </c>
      <c r="I21" s="227">
        <f t="shared" si="1"/>
        <v>3.48</v>
      </c>
      <c r="J21" s="395" t="s">
        <v>544</v>
      </c>
      <c r="K21" s="398" t="s">
        <v>546</v>
      </c>
      <c r="L21" s="401" t="s">
        <v>383</v>
      </c>
      <c r="M21" s="82"/>
    </row>
    <row r="22" spans="2:13" ht="60" customHeight="1">
      <c r="B22" s="76">
        <v>9</v>
      </c>
      <c r="C22" s="77" t="str">
        <f>DataSiswa!B16</f>
        <v>9986349049</v>
      </c>
      <c r="D22" s="78" t="str">
        <f>DataSiswa!C16</f>
        <v>Febrawati Fajlynd</v>
      </c>
      <c r="E22" s="242">
        <v>90</v>
      </c>
      <c r="F22" s="79">
        <v>88</v>
      </c>
      <c r="G22" s="80" t="s">
        <v>334</v>
      </c>
      <c r="H22" s="227">
        <f t="shared" si="0"/>
        <v>3.6</v>
      </c>
      <c r="I22" s="227">
        <f t="shared" si="1"/>
        <v>3.52</v>
      </c>
      <c r="J22" s="395" t="s">
        <v>544</v>
      </c>
      <c r="K22" s="398" t="s">
        <v>546</v>
      </c>
      <c r="L22" s="401" t="s">
        <v>383</v>
      </c>
      <c r="M22" s="82"/>
    </row>
    <row r="23" spans="2:13" ht="60" customHeight="1">
      <c r="B23" s="76">
        <v>10</v>
      </c>
      <c r="C23" s="77" t="str">
        <f>DataSiswa!B17</f>
        <v>9980673410</v>
      </c>
      <c r="D23" s="78" t="str">
        <f>DataSiswa!C17</f>
        <v>Fierro Perdana Ibrahim</v>
      </c>
      <c r="E23" s="242">
        <v>86</v>
      </c>
      <c r="F23" s="79">
        <v>86</v>
      </c>
      <c r="G23" s="80" t="s">
        <v>334</v>
      </c>
      <c r="H23" s="227">
        <f t="shared" si="0"/>
        <v>3.44</v>
      </c>
      <c r="I23" s="227">
        <f t="shared" si="1"/>
        <v>3.44</v>
      </c>
      <c r="J23" s="395" t="s">
        <v>545</v>
      </c>
      <c r="K23" s="398" t="s">
        <v>546</v>
      </c>
      <c r="L23" s="401" t="s">
        <v>383</v>
      </c>
      <c r="M23" s="82"/>
    </row>
    <row r="24" spans="2:13" ht="60" customHeight="1">
      <c r="B24" s="76">
        <v>11</v>
      </c>
      <c r="C24" s="77" t="str">
        <f>DataSiswa!B18</f>
        <v>9980817833</v>
      </c>
      <c r="D24" s="78" t="str">
        <f>DataSiswa!C18</f>
        <v>Jihan Salsabilla</v>
      </c>
      <c r="E24" s="242">
        <v>87</v>
      </c>
      <c r="F24" s="79">
        <v>88</v>
      </c>
      <c r="G24" s="80" t="s">
        <v>334</v>
      </c>
      <c r="H24" s="227">
        <f t="shared" si="0"/>
        <v>3.48</v>
      </c>
      <c r="I24" s="227">
        <f t="shared" si="1"/>
        <v>3.52</v>
      </c>
      <c r="J24" s="395" t="s">
        <v>543</v>
      </c>
      <c r="K24" s="398" t="s">
        <v>547</v>
      </c>
      <c r="L24" s="401" t="s">
        <v>383</v>
      </c>
      <c r="M24" s="82"/>
    </row>
    <row r="25" spans="2:13" ht="60" customHeight="1">
      <c r="B25" s="76">
        <v>12</v>
      </c>
      <c r="C25" s="77" t="str">
        <f>DataSiswa!B19</f>
        <v>9980065874</v>
      </c>
      <c r="D25" s="78" t="str">
        <f>DataSiswa!C19</f>
        <v>Karina Safira Rannas</v>
      </c>
      <c r="E25" s="242">
        <v>89</v>
      </c>
      <c r="F25" s="79">
        <v>88</v>
      </c>
      <c r="G25" s="80" t="s">
        <v>334</v>
      </c>
      <c r="H25" s="227">
        <f t="shared" si="0"/>
        <v>3.56</v>
      </c>
      <c r="I25" s="227">
        <f t="shared" si="1"/>
        <v>3.52</v>
      </c>
      <c r="J25" s="395" t="s">
        <v>544</v>
      </c>
      <c r="K25" s="398" t="s">
        <v>546</v>
      </c>
      <c r="L25" s="401" t="s">
        <v>383</v>
      </c>
      <c r="M25" s="82"/>
    </row>
    <row r="26" spans="2:13" ht="60" customHeight="1">
      <c r="B26" s="76">
        <v>13</v>
      </c>
      <c r="C26" s="77" t="str">
        <f>DataSiswa!B20</f>
        <v>9970816998</v>
      </c>
      <c r="D26" s="78" t="str">
        <f>DataSiswa!C20</f>
        <v>Loura Oktaviola</v>
      </c>
      <c r="E26" s="242">
        <v>90</v>
      </c>
      <c r="F26" s="79">
        <v>88</v>
      </c>
      <c r="G26" s="80" t="s">
        <v>334</v>
      </c>
      <c r="H26" s="227">
        <f t="shared" si="0"/>
        <v>3.6</v>
      </c>
      <c r="I26" s="227">
        <f t="shared" si="1"/>
        <v>3.52</v>
      </c>
      <c r="J26" s="395" t="s">
        <v>544</v>
      </c>
      <c r="K26" s="398" t="s">
        <v>546</v>
      </c>
      <c r="L26" s="402" t="s">
        <v>383</v>
      </c>
      <c r="M26" s="84"/>
    </row>
    <row r="27" spans="2:13" ht="60" customHeight="1">
      <c r="B27" s="76">
        <v>14</v>
      </c>
      <c r="C27" s="77" t="str">
        <f>DataSiswa!B21</f>
        <v>9982095456</v>
      </c>
      <c r="D27" s="78" t="str">
        <f>DataSiswa!C21</f>
        <v>Lauren Dwina Arini</v>
      </c>
      <c r="E27" s="242">
        <v>86</v>
      </c>
      <c r="F27" s="79">
        <v>88</v>
      </c>
      <c r="G27" s="80" t="s">
        <v>334</v>
      </c>
      <c r="H27" s="227">
        <f t="shared" si="0"/>
        <v>3.44</v>
      </c>
      <c r="I27" s="227">
        <f t="shared" si="1"/>
        <v>3.52</v>
      </c>
      <c r="J27" s="395" t="s">
        <v>543</v>
      </c>
      <c r="K27" s="398" t="s">
        <v>546</v>
      </c>
      <c r="L27" s="402" t="s">
        <v>383</v>
      </c>
      <c r="M27" s="85"/>
    </row>
    <row r="28" spans="2:13" ht="60" customHeight="1">
      <c r="B28" s="76">
        <v>15</v>
      </c>
      <c r="C28" s="77" t="str">
        <f>DataSiswa!B22</f>
        <v>9980817839</v>
      </c>
      <c r="D28" s="78" t="str">
        <f>DataSiswa!C22</f>
        <v>Leoni Syagna Velia</v>
      </c>
      <c r="E28" s="242">
        <v>91</v>
      </c>
      <c r="F28" s="79">
        <v>88</v>
      </c>
      <c r="G28" s="79" t="s">
        <v>334</v>
      </c>
      <c r="H28" s="227">
        <f t="shared" si="0"/>
        <v>3.64</v>
      </c>
      <c r="I28" s="227">
        <f t="shared" si="1"/>
        <v>3.52</v>
      </c>
      <c r="J28" s="396" t="s">
        <v>544</v>
      </c>
      <c r="K28" s="399" t="s">
        <v>546</v>
      </c>
      <c r="L28" s="402" t="s">
        <v>383</v>
      </c>
      <c r="M28" s="85"/>
    </row>
    <row r="29" spans="2:13" ht="60" customHeight="1">
      <c r="B29" s="76">
        <v>16</v>
      </c>
      <c r="C29" s="77" t="str">
        <f>DataSiswa!B23</f>
        <v>9982885002</v>
      </c>
      <c r="D29" s="78" t="str">
        <f>DataSiswa!C23</f>
        <v>Mia Larisa Waskito</v>
      </c>
      <c r="E29" s="242">
        <v>89</v>
      </c>
      <c r="F29" s="79">
        <v>88</v>
      </c>
      <c r="G29" s="79" t="s">
        <v>334</v>
      </c>
      <c r="H29" s="227">
        <f t="shared" si="0"/>
        <v>3.56</v>
      </c>
      <c r="I29" s="227">
        <f t="shared" si="1"/>
        <v>3.52</v>
      </c>
      <c r="J29" s="396" t="s">
        <v>544</v>
      </c>
      <c r="K29" s="399" t="s">
        <v>546</v>
      </c>
      <c r="L29" s="402" t="s">
        <v>383</v>
      </c>
      <c r="M29" s="85"/>
    </row>
    <row r="30" spans="2:13" ht="60" customHeight="1">
      <c r="B30" s="76">
        <v>17</v>
      </c>
      <c r="C30" s="77" t="str">
        <f>DataSiswa!B24</f>
        <v>9983996707</v>
      </c>
      <c r="D30" s="78" t="str">
        <f>DataSiswa!C24</f>
        <v>Muhammad Fadel</v>
      </c>
      <c r="E30" s="242">
        <v>90</v>
      </c>
      <c r="F30" s="79">
        <v>88</v>
      </c>
      <c r="G30" s="79" t="s">
        <v>334</v>
      </c>
      <c r="H30" s="227">
        <f t="shared" si="0"/>
        <v>3.6</v>
      </c>
      <c r="I30" s="227">
        <f t="shared" si="1"/>
        <v>3.52</v>
      </c>
      <c r="J30" s="396" t="s">
        <v>544</v>
      </c>
      <c r="K30" s="399" t="s">
        <v>546</v>
      </c>
      <c r="L30" s="402" t="s">
        <v>383</v>
      </c>
      <c r="M30" s="85"/>
    </row>
    <row r="31" spans="2:13" ht="60" customHeight="1">
      <c r="B31" s="76">
        <v>18</v>
      </c>
      <c r="C31" s="77" t="str">
        <f>DataSiswa!B25</f>
        <v>9981328630</v>
      </c>
      <c r="D31" s="78" t="str">
        <f>DataSiswa!C25</f>
        <v>Muhammad Ilham Fajri</v>
      </c>
      <c r="E31" s="242">
        <v>85</v>
      </c>
      <c r="F31" s="79">
        <v>88</v>
      </c>
      <c r="G31" s="79" t="s">
        <v>334</v>
      </c>
      <c r="H31" s="227">
        <f t="shared" si="0"/>
        <v>3.4</v>
      </c>
      <c r="I31" s="227">
        <f t="shared" si="1"/>
        <v>3.52</v>
      </c>
      <c r="J31" s="396" t="s">
        <v>543</v>
      </c>
      <c r="K31" s="399" t="s">
        <v>546</v>
      </c>
      <c r="L31" s="402" t="s">
        <v>383</v>
      </c>
      <c r="M31" s="85"/>
    </row>
    <row r="32" spans="2:13" ht="60" customHeight="1">
      <c r="B32" s="76">
        <v>19</v>
      </c>
      <c r="C32" s="77" t="str">
        <f>DataSiswa!B26</f>
        <v>9980830799</v>
      </c>
      <c r="D32" s="78" t="str">
        <f>DataSiswa!C26</f>
        <v>Muhammad Irfan</v>
      </c>
      <c r="E32" s="242">
        <v>89</v>
      </c>
      <c r="F32" s="79">
        <v>88</v>
      </c>
      <c r="G32" s="79" t="s">
        <v>334</v>
      </c>
      <c r="H32" s="227">
        <f t="shared" si="0"/>
        <v>3.56</v>
      </c>
      <c r="I32" s="227">
        <f t="shared" si="1"/>
        <v>3.52</v>
      </c>
      <c r="J32" s="396" t="s">
        <v>544</v>
      </c>
      <c r="K32" s="399" t="s">
        <v>546</v>
      </c>
      <c r="L32" s="402" t="s">
        <v>384</v>
      </c>
      <c r="M32" s="85"/>
    </row>
    <row r="33" spans="2:13" ht="60" customHeight="1">
      <c r="B33" s="76">
        <v>20</v>
      </c>
      <c r="C33" s="77" t="str">
        <f>DataSiswa!B27</f>
        <v>9981704177</v>
      </c>
      <c r="D33" s="78" t="str">
        <f>DataSiswa!C27</f>
        <v>Naura Cantika</v>
      </c>
      <c r="E33" s="242">
        <v>90</v>
      </c>
      <c r="F33" s="79">
        <v>88</v>
      </c>
      <c r="G33" s="79" t="s">
        <v>334</v>
      </c>
      <c r="H33" s="227">
        <f t="shared" si="0"/>
        <v>3.6</v>
      </c>
      <c r="I33" s="227">
        <f t="shared" si="1"/>
        <v>3.52</v>
      </c>
      <c r="J33" s="396" t="s">
        <v>544</v>
      </c>
      <c r="K33" s="399" t="s">
        <v>546</v>
      </c>
      <c r="L33" s="402" t="s">
        <v>383</v>
      </c>
      <c r="M33" s="85"/>
    </row>
    <row r="34" spans="2:13" ht="60" customHeight="1">
      <c r="B34" s="76">
        <v>21</v>
      </c>
      <c r="C34" s="77" t="str">
        <f>DataSiswa!B28</f>
        <v>9980810523</v>
      </c>
      <c r="D34" s="78" t="str">
        <f>DataSiswa!C28</f>
        <v>Nurul Putri Salsabila</v>
      </c>
      <c r="E34" s="242">
        <v>91</v>
      </c>
      <c r="F34" s="79">
        <v>88</v>
      </c>
      <c r="G34" s="79" t="s">
        <v>334</v>
      </c>
      <c r="H34" s="227">
        <f t="shared" si="0"/>
        <v>3.64</v>
      </c>
      <c r="I34" s="227">
        <f t="shared" si="1"/>
        <v>3.52</v>
      </c>
      <c r="J34" s="396" t="s">
        <v>544</v>
      </c>
      <c r="K34" s="399" t="s">
        <v>546</v>
      </c>
      <c r="L34" s="402" t="s">
        <v>383</v>
      </c>
      <c r="M34" s="85"/>
    </row>
    <row r="35" spans="2:13" ht="60" customHeight="1">
      <c r="B35" s="76">
        <v>22</v>
      </c>
      <c r="C35" s="77" t="str">
        <f>DataSiswa!B29</f>
        <v>9998982066</v>
      </c>
      <c r="D35" s="78" t="str">
        <f>DataSiswa!C29</f>
        <v>Rafi Fikriya Riza</v>
      </c>
      <c r="E35" s="242">
        <v>85</v>
      </c>
      <c r="F35" s="79">
        <v>88</v>
      </c>
      <c r="G35" s="79" t="s">
        <v>334</v>
      </c>
      <c r="H35" s="227">
        <f t="shared" si="0"/>
        <v>3.4</v>
      </c>
      <c r="I35" s="227">
        <f t="shared" si="1"/>
        <v>3.52</v>
      </c>
      <c r="J35" s="396" t="s">
        <v>543</v>
      </c>
      <c r="K35" s="399" t="s">
        <v>546</v>
      </c>
      <c r="L35" s="402" t="s">
        <v>383</v>
      </c>
      <c r="M35" s="85"/>
    </row>
    <row r="36" spans="2:13" ht="60" customHeight="1">
      <c r="B36" s="76">
        <v>23</v>
      </c>
      <c r="C36" s="77" t="str">
        <f>DataSiswa!B30</f>
        <v>9985967994</v>
      </c>
      <c r="D36" s="78" t="str">
        <f>DataSiswa!C30</f>
        <v>Restu Tria Bahri</v>
      </c>
      <c r="E36" s="242">
        <v>83</v>
      </c>
      <c r="F36" s="79">
        <v>88</v>
      </c>
      <c r="G36" s="79" t="s">
        <v>334</v>
      </c>
      <c r="H36" s="227">
        <f t="shared" si="0"/>
        <v>3.32</v>
      </c>
      <c r="I36" s="227">
        <f t="shared" si="1"/>
        <v>3.52</v>
      </c>
      <c r="J36" s="396" t="s">
        <v>545</v>
      </c>
      <c r="K36" s="399" t="s">
        <v>546</v>
      </c>
      <c r="L36" s="402" t="s">
        <v>383</v>
      </c>
      <c r="M36" s="85"/>
    </row>
    <row r="37" spans="2:13" ht="60" customHeight="1">
      <c r="B37" s="76">
        <v>24</v>
      </c>
      <c r="C37" s="77" t="str">
        <f>DataSiswa!B31</f>
        <v>9980799351</v>
      </c>
      <c r="D37" s="78" t="str">
        <f>DataSiswa!C31</f>
        <v>Rifka Esofita</v>
      </c>
      <c r="E37" s="242">
        <v>84</v>
      </c>
      <c r="F37" s="79">
        <v>88</v>
      </c>
      <c r="G37" s="79" t="s">
        <v>334</v>
      </c>
      <c r="H37" s="227">
        <f t="shared" si="0"/>
        <v>3.36</v>
      </c>
      <c r="I37" s="227">
        <f t="shared" si="1"/>
        <v>3.52</v>
      </c>
      <c r="J37" s="396" t="s">
        <v>543</v>
      </c>
      <c r="K37" s="399" t="s">
        <v>546</v>
      </c>
      <c r="L37" s="402" t="s">
        <v>383</v>
      </c>
      <c r="M37" s="85"/>
    </row>
    <row r="38" spans="2:13" ht="60" customHeight="1">
      <c r="B38" s="76">
        <v>25</v>
      </c>
      <c r="C38" s="77" t="str">
        <f>DataSiswa!B32</f>
        <v>9982095495</v>
      </c>
      <c r="D38" s="78" t="str">
        <f>DataSiswa!C32</f>
        <v>Rifo Ranofan</v>
      </c>
      <c r="E38" s="242">
        <v>88</v>
      </c>
      <c r="F38" s="79">
        <v>85</v>
      </c>
      <c r="G38" s="79" t="s">
        <v>334</v>
      </c>
      <c r="H38" s="227">
        <f t="shared" si="0"/>
        <v>3.52</v>
      </c>
      <c r="I38" s="227">
        <f t="shared" si="1"/>
        <v>3.4</v>
      </c>
      <c r="J38" s="396" t="s">
        <v>544</v>
      </c>
      <c r="K38" s="399" t="s">
        <v>546</v>
      </c>
      <c r="L38" s="402" t="s">
        <v>383</v>
      </c>
      <c r="M38" s="85"/>
    </row>
    <row r="39" spans="2:13" ht="60" customHeight="1">
      <c r="B39" s="76">
        <v>26</v>
      </c>
      <c r="C39" s="77" t="str">
        <f>DataSiswa!B33</f>
        <v>9985858026</v>
      </c>
      <c r="D39" s="78" t="str">
        <f>DataSiswa!C33</f>
        <v>Stephany Widyanti</v>
      </c>
      <c r="E39" s="242">
        <v>90</v>
      </c>
      <c r="F39" s="79">
        <v>88</v>
      </c>
      <c r="G39" s="79" t="s">
        <v>334</v>
      </c>
      <c r="H39" s="227">
        <f t="shared" si="0"/>
        <v>3.6</v>
      </c>
      <c r="I39" s="227">
        <f t="shared" si="1"/>
        <v>3.52</v>
      </c>
      <c r="J39" s="397" t="s">
        <v>544</v>
      </c>
      <c r="K39" s="400" t="s">
        <v>546</v>
      </c>
      <c r="L39" s="403" t="s">
        <v>383</v>
      </c>
      <c r="M39" s="85"/>
    </row>
    <row r="40" spans="2:13" ht="60" customHeight="1">
      <c r="B40" s="76">
        <v>27</v>
      </c>
      <c r="C40" s="77" t="str">
        <f>DataSiswa!B34</f>
        <v>9980818512</v>
      </c>
      <c r="D40" s="78" t="str">
        <f>DataSiswa!C34</f>
        <v>Tiara Yulianti</v>
      </c>
      <c r="E40" s="242">
        <v>90</v>
      </c>
      <c r="F40" s="79">
        <v>88</v>
      </c>
      <c r="G40" s="79" t="s">
        <v>334</v>
      </c>
      <c r="H40" s="227">
        <f t="shared" si="0"/>
        <v>3.6</v>
      </c>
      <c r="I40" s="227">
        <f t="shared" si="1"/>
        <v>3.52</v>
      </c>
      <c r="J40" s="397" t="s">
        <v>544</v>
      </c>
      <c r="K40" s="400" t="s">
        <v>546</v>
      </c>
      <c r="L40" s="403" t="s">
        <v>383</v>
      </c>
      <c r="M40" s="85"/>
    </row>
    <row r="41" spans="2:13" ht="60" customHeight="1">
      <c r="B41" s="76">
        <v>28</v>
      </c>
      <c r="C41" s="77" t="str">
        <f>DataSiswa!B35</f>
        <v>9982393794</v>
      </c>
      <c r="D41" s="78" t="str">
        <f>DataSiswa!C35</f>
        <v>Tika Wandira</v>
      </c>
      <c r="E41" s="242">
        <v>85</v>
      </c>
      <c r="F41" s="79">
        <v>88</v>
      </c>
      <c r="G41" s="79" t="s">
        <v>334</v>
      </c>
      <c r="H41" s="227">
        <f t="shared" si="0"/>
        <v>3.4</v>
      </c>
      <c r="I41" s="227">
        <f t="shared" si="1"/>
        <v>3.52</v>
      </c>
      <c r="J41" s="397" t="s">
        <v>543</v>
      </c>
      <c r="K41" s="400" t="s">
        <v>546</v>
      </c>
      <c r="L41" s="403" t="s">
        <v>383</v>
      </c>
      <c r="M41" s="85"/>
    </row>
    <row r="42" spans="2:13" ht="60" customHeight="1">
      <c r="B42" s="76">
        <v>29</v>
      </c>
      <c r="C42" s="77" t="str">
        <f>DataSiswa!B36</f>
        <v>9980818720</v>
      </c>
      <c r="D42" s="78" t="str">
        <f>DataSiswa!C36</f>
        <v>Ulfa Febriyani</v>
      </c>
      <c r="E42" s="242">
        <v>90</v>
      </c>
      <c r="F42" s="79">
        <v>88</v>
      </c>
      <c r="G42" s="79" t="s">
        <v>334</v>
      </c>
      <c r="H42" s="227">
        <f t="shared" si="0"/>
        <v>3.6</v>
      </c>
      <c r="I42" s="227">
        <f t="shared" si="1"/>
        <v>3.52</v>
      </c>
      <c r="J42" s="397" t="s">
        <v>544</v>
      </c>
      <c r="K42" s="400" t="s">
        <v>546</v>
      </c>
      <c r="L42" s="403" t="s">
        <v>383</v>
      </c>
      <c r="M42" s="85"/>
    </row>
    <row r="43" spans="2:13" ht="60" customHeight="1">
      <c r="B43" s="76">
        <v>30</v>
      </c>
      <c r="C43" s="77" t="str">
        <f>DataSiswa!B37</f>
        <v>9990756408</v>
      </c>
      <c r="D43" s="78" t="str">
        <f>DataSiswa!C37</f>
        <v>Valdy Filando Sardi</v>
      </c>
      <c r="E43" s="242">
        <v>84</v>
      </c>
      <c r="F43" s="79">
        <v>88</v>
      </c>
      <c r="G43" s="79" t="s">
        <v>334</v>
      </c>
      <c r="H43" s="227">
        <f t="shared" si="0"/>
        <v>3.36</v>
      </c>
      <c r="I43" s="227">
        <f t="shared" si="1"/>
        <v>3.52</v>
      </c>
      <c r="J43" s="397" t="s">
        <v>543</v>
      </c>
      <c r="K43" s="400" t="s">
        <v>546</v>
      </c>
      <c r="L43" s="403" t="s">
        <v>383</v>
      </c>
      <c r="M43" s="85"/>
    </row>
    <row r="44" spans="2:13" ht="60" customHeight="1">
      <c r="B44" s="76">
        <v>31</v>
      </c>
      <c r="C44" s="77" t="str">
        <f>DataSiswa!B38</f>
        <v>9980816670</v>
      </c>
      <c r="D44" s="78" t="str">
        <f>DataSiswa!C38</f>
        <v>Vonny Maitaveri</v>
      </c>
      <c r="E44" s="242">
        <v>84</v>
      </c>
      <c r="F44" s="79">
        <v>88</v>
      </c>
      <c r="G44" s="79" t="s">
        <v>334</v>
      </c>
      <c r="H44" s="227">
        <f t="shared" si="0"/>
        <v>3.36</v>
      </c>
      <c r="I44" s="227">
        <f t="shared" si="1"/>
        <v>3.52</v>
      </c>
      <c r="J44" s="397" t="s">
        <v>543</v>
      </c>
      <c r="K44" s="400" t="s">
        <v>546</v>
      </c>
      <c r="L44" s="403" t="s">
        <v>383</v>
      </c>
      <c r="M44" s="85"/>
    </row>
    <row r="45" spans="2:13" ht="60" customHeight="1">
      <c r="B45" s="76">
        <v>32</v>
      </c>
      <c r="C45" s="77" t="str">
        <f>DataSiswa!B39</f>
        <v>9982889268</v>
      </c>
      <c r="D45" s="78" t="str">
        <f>DataSiswa!C39</f>
        <v>Wahyu Yolanda</v>
      </c>
      <c r="E45" s="242">
        <v>88</v>
      </c>
      <c r="F45" s="79">
        <v>88</v>
      </c>
      <c r="G45" s="79" t="s">
        <v>334</v>
      </c>
      <c r="H45" s="227">
        <f t="shared" si="0"/>
        <v>3.52</v>
      </c>
      <c r="I45" s="227">
        <f t="shared" si="1"/>
        <v>3.52</v>
      </c>
      <c r="J45" s="397" t="s">
        <v>544</v>
      </c>
      <c r="K45" s="400" t="s">
        <v>546</v>
      </c>
      <c r="L45" s="403" t="s">
        <v>542</v>
      </c>
      <c r="M45" s="85"/>
    </row>
    <row r="46" spans="2:13" ht="39.950000000000003" customHeight="1">
      <c r="B46" s="76">
        <v>33</v>
      </c>
      <c r="C46" s="77">
        <f>DataSiswa!B40</f>
        <v>0</v>
      </c>
      <c r="D46" s="78">
        <f>DataSiswa!C40</f>
        <v>0</v>
      </c>
      <c r="E46" s="79"/>
      <c r="F46" s="79"/>
      <c r="G46" s="86"/>
      <c r="H46" s="227">
        <f t="shared" si="0"/>
        <v>0</v>
      </c>
      <c r="I46" s="227">
        <f t="shared" si="1"/>
        <v>0</v>
      </c>
      <c r="J46" s="94"/>
      <c r="K46" s="97"/>
      <c r="L46" s="101"/>
      <c r="M46" s="85"/>
    </row>
    <row r="47" spans="2:13" ht="39.950000000000003" customHeight="1">
      <c r="B47" s="76">
        <v>34</v>
      </c>
      <c r="C47" s="77">
        <f>DataSiswa!B41</f>
        <v>0</v>
      </c>
      <c r="D47" s="78">
        <f>DataSiswa!C41</f>
        <v>0</v>
      </c>
      <c r="E47" s="79"/>
      <c r="F47" s="79"/>
      <c r="G47" s="86"/>
      <c r="H47" s="227">
        <f t="shared" si="0"/>
        <v>0</v>
      </c>
      <c r="I47" s="227">
        <f t="shared" si="1"/>
        <v>0</v>
      </c>
      <c r="J47" s="94"/>
      <c r="K47" s="97"/>
      <c r="L47" s="101"/>
      <c r="M47" s="85"/>
    </row>
    <row r="48" spans="2:13" ht="39.950000000000003" customHeight="1">
      <c r="B48" s="76">
        <v>35</v>
      </c>
      <c r="C48" s="77">
        <f>DataSiswa!B42</f>
        <v>0</v>
      </c>
      <c r="D48" s="78">
        <f>DataSiswa!C42</f>
        <v>0</v>
      </c>
      <c r="E48" s="79"/>
      <c r="F48" s="79"/>
      <c r="G48" s="86"/>
      <c r="H48" s="227">
        <f t="shared" si="0"/>
        <v>0</v>
      </c>
      <c r="I48" s="227">
        <f t="shared" si="1"/>
        <v>0</v>
      </c>
      <c r="J48" s="94"/>
      <c r="K48" s="97"/>
      <c r="L48" s="101"/>
      <c r="M48" s="85"/>
    </row>
    <row r="49" spans="2:13" ht="39.950000000000003" customHeight="1">
      <c r="B49" s="76">
        <v>36</v>
      </c>
      <c r="C49" s="77">
        <f>DataSiswa!B43</f>
        <v>0</v>
      </c>
      <c r="D49" s="78">
        <f>DataSiswa!C43</f>
        <v>0</v>
      </c>
      <c r="E49" s="79"/>
      <c r="F49" s="79"/>
      <c r="G49" s="86"/>
      <c r="H49" s="227">
        <f t="shared" si="0"/>
        <v>0</v>
      </c>
      <c r="I49" s="227">
        <f t="shared" si="1"/>
        <v>0</v>
      </c>
      <c r="J49" s="94"/>
      <c r="K49" s="97"/>
      <c r="L49" s="101"/>
      <c r="M49" s="85"/>
    </row>
    <row r="50" spans="2:13" ht="39.950000000000003" customHeight="1">
      <c r="B50" s="76">
        <v>37</v>
      </c>
      <c r="C50" s="77">
        <f>DataSiswa!B44</f>
        <v>0</v>
      </c>
      <c r="D50" s="78">
        <f>DataSiswa!C44</f>
        <v>0</v>
      </c>
      <c r="E50" s="79"/>
      <c r="F50" s="79"/>
      <c r="G50" s="86"/>
      <c r="H50" s="227">
        <f t="shared" si="0"/>
        <v>0</v>
      </c>
      <c r="I50" s="227">
        <f t="shared" si="1"/>
        <v>0</v>
      </c>
      <c r="J50" s="94"/>
      <c r="K50" s="97"/>
      <c r="L50" s="101"/>
      <c r="M50" s="85"/>
    </row>
    <row r="51" spans="2:13" ht="39.950000000000003" customHeight="1">
      <c r="B51" s="76">
        <v>38</v>
      </c>
      <c r="C51" s="77">
        <f>DataSiswa!B45</f>
        <v>0</v>
      </c>
      <c r="D51" s="78">
        <f>DataSiswa!C45</f>
        <v>0</v>
      </c>
      <c r="E51" s="79"/>
      <c r="F51" s="79"/>
      <c r="G51" s="86"/>
      <c r="H51" s="227">
        <f t="shared" si="0"/>
        <v>0</v>
      </c>
      <c r="I51" s="227">
        <f t="shared" si="1"/>
        <v>0</v>
      </c>
      <c r="J51" s="94"/>
      <c r="K51" s="97"/>
      <c r="L51" s="101"/>
      <c r="M51" s="85"/>
    </row>
    <row r="52" spans="2:13" ht="39.950000000000003" customHeight="1">
      <c r="B52" s="76">
        <v>39</v>
      </c>
      <c r="C52" s="77">
        <f>DataSiswa!B46</f>
        <v>0</v>
      </c>
      <c r="D52" s="78">
        <f>DataSiswa!C46</f>
        <v>0</v>
      </c>
      <c r="E52" s="79"/>
      <c r="F52" s="79"/>
      <c r="G52" s="86"/>
      <c r="H52" s="227">
        <f t="shared" si="0"/>
        <v>0</v>
      </c>
      <c r="I52" s="227">
        <f t="shared" si="1"/>
        <v>0</v>
      </c>
      <c r="J52" s="94"/>
      <c r="K52" s="97"/>
      <c r="L52" s="101"/>
      <c r="M52" s="85"/>
    </row>
    <row r="53" spans="2:13" ht="39.950000000000003" customHeight="1" thickBot="1">
      <c r="B53" s="76">
        <v>40</v>
      </c>
      <c r="C53" s="103">
        <f>DataSiswa!B47</f>
        <v>0</v>
      </c>
      <c r="D53" s="104">
        <f>DataSiswa!C47</f>
        <v>0</v>
      </c>
      <c r="E53" s="89"/>
      <c r="F53" s="89"/>
      <c r="G53" s="90"/>
      <c r="H53" s="227">
        <f t="shared" si="0"/>
        <v>0</v>
      </c>
      <c r="I53" s="227">
        <f t="shared" si="1"/>
        <v>0</v>
      </c>
      <c r="J53" s="95"/>
      <c r="K53" s="98"/>
      <c r="L53" s="102"/>
      <c r="M53" s="85"/>
    </row>
    <row r="54" spans="2:13" ht="15.75" thickTop="1"/>
  </sheetData>
  <mergeCells count="16">
    <mergeCell ref="B12:B13"/>
    <mergeCell ref="C12:C13"/>
    <mergeCell ref="B4:C4"/>
    <mergeCell ref="B6:C6"/>
    <mergeCell ref="B8:C8"/>
    <mergeCell ref="B9:C9"/>
    <mergeCell ref="B10:C10"/>
    <mergeCell ref="L12:L13"/>
    <mergeCell ref="D12:D13"/>
    <mergeCell ref="E12:G12"/>
    <mergeCell ref="J8:J10"/>
    <mergeCell ref="H12:I12"/>
    <mergeCell ref="J12:J13"/>
    <mergeCell ref="K12:K13"/>
    <mergeCell ref="F8:G8"/>
    <mergeCell ref="F9:G10"/>
  </mergeCells>
  <pageMargins left="0.7" right="0.7" top="0.75" bottom="0.75" header="0.3" footer="0.3"/>
  <pageSetup orientation="portrait" horizontalDpi="4294967293"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B1:M54"/>
  <sheetViews>
    <sheetView topLeftCell="A4" workbookViewId="0">
      <selection activeCell="J14" sqref="J14:L45"/>
    </sheetView>
  </sheetViews>
  <sheetFormatPr defaultRowHeight="15"/>
  <cols>
    <col min="1" max="1" width="9.140625" style="61"/>
    <col min="2" max="2" width="5.7109375" style="61" customWidth="1"/>
    <col min="3" max="3" width="13.7109375" style="61" customWidth="1"/>
    <col min="4" max="4" width="28.7109375" style="61" customWidth="1"/>
    <col min="5" max="5" width="7.140625" style="61" customWidth="1"/>
    <col min="6" max="6" width="8.140625" style="61" customWidth="1"/>
    <col min="7" max="7" width="10.5703125" style="61" customWidth="1"/>
    <col min="8" max="8" width="7.85546875" style="61" customWidth="1"/>
    <col min="9" max="9" width="10" style="61" customWidth="1"/>
    <col min="10" max="11" width="45.7109375" style="61" customWidth="1"/>
    <col min="12" max="12" width="45.85546875" style="61" customWidth="1"/>
    <col min="13" max="16384" width="9.140625" style="61"/>
  </cols>
  <sheetData>
    <row r="1" spans="2:13" ht="15.75" thickBot="1"/>
    <row r="2" spans="2:13" ht="15.75" customHeight="1" thickTop="1" thickBot="1">
      <c r="B2" s="62" t="s">
        <v>45</v>
      </c>
      <c r="C2" s="63"/>
      <c r="D2" s="64"/>
      <c r="E2" s="65"/>
    </row>
    <row r="3" spans="2:13" ht="15.75" customHeight="1" thickTop="1" thickBot="1">
      <c r="B3" s="66"/>
      <c r="C3" s="65"/>
      <c r="D3" s="65"/>
      <c r="E3" s="65"/>
    </row>
    <row r="4" spans="2:13" ht="15.75" customHeight="1" thickTop="1" thickBot="1">
      <c r="B4" s="558" t="s">
        <v>28</v>
      </c>
      <c r="C4" s="559"/>
      <c r="D4" s="67" t="str">
        <f>DataGuru!D14</f>
        <v>Dra.NENG MULYETTI</v>
      </c>
      <c r="E4" s="65"/>
    </row>
    <row r="5" spans="2:13" ht="16.5" thickTop="1" thickBot="1">
      <c r="D5" s="68"/>
      <c r="H5" s="147"/>
    </row>
    <row r="6" spans="2:13" ht="15.75" thickTop="1">
      <c r="B6" s="560" t="s">
        <v>38</v>
      </c>
      <c r="C6" s="561"/>
      <c r="D6" s="69" t="str">
        <f>DataGuru!C36</f>
        <v>-</v>
      </c>
      <c r="H6" s="147"/>
    </row>
    <row r="7" spans="2:13" ht="15.75" thickBot="1">
      <c r="B7" s="2" t="s">
        <v>46</v>
      </c>
      <c r="C7" s="3"/>
      <c r="D7" s="70" t="str">
        <f>DataGuru!D9</f>
        <v>2014/2015</v>
      </c>
    </row>
    <row r="8" spans="2:13" ht="17.25" thickTop="1" thickBot="1">
      <c r="B8" s="562" t="s">
        <v>4</v>
      </c>
      <c r="C8" s="563"/>
      <c r="D8" s="70" t="str">
        <f>DataGuru!D10</f>
        <v>XI MIA 4</v>
      </c>
      <c r="F8" s="564" t="s">
        <v>11</v>
      </c>
      <c r="G8" s="565"/>
      <c r="H8" s="148"/>
      <c r="I8" s="148"/>
      <c r="J8" s="572" t="s">
        <v>231</v>
      </c>
      <c r="K8" s="148"/>
    </row>
    <row r="9" spans="2:13" ht="15.75" customHeight="1" thickTop="1">
      <c r="B9" s="562" t="s">
        <v>47</v>
      </c>
      <c r="C9" s="563"/>
      <c r="D9" s="70">
        <f>DataGuru!D36</f>
        <v>0</v>
      </c>
      <c r="F9" s="566">
        <f>DataGuru!E36</f>
        <v>0</v>
      </c>
      <c r="G9" s="567"/>
      <c r="H9" s="149"/>
      <c r="I9" s="149"/>
      <c r="J9" s="572"/>
      <c r="K9" s="149"/>
    </row>
    <row r="10" spans="2:13" ht="15.75" customHeight="1" thickBot="1">
      <c r="B10" s="570"/>
      <c r="C10" s="571"/>
      <c r="D10" s="4"/>
      <c r="F10" s="568"/>
      <c r="G10" s="569"/>
      <c r="H10" s="149"/>
      <c r="I10" s="147"/>
      <c r="J10" s="572"/>
      <c r="K10" s="149"/>
    </row>
    <row r="11" spans="2:13" ht="16.5" thickTop="1" thickBot="1"/>
    <row r="12" spans="2:13" ht="16.5" thickTop="1">
      <c r="B12" s="548" t="s">
        <v>48</v>
      </c>
      <c r="C12" s="550" t="s">
        <v>20</v>
      </c>
      <c r="D12" s="552" t="s">
        <v>21</v>
      </c>
      <c r="E12" s="554" t="s">
        <v>49</v>
      </c>
      <c r="F12" s="555"/>
      <c r="G12" s="555"/>
      <c r="H12" s="556" t="s">
        <v>222</v>
      </c>
      <c r="I12" s="557"/>
      <c r="J12" s="546" t="s">
        <v>39</v>
      </c>
      <c r="K12" s="546" t="s">
        <v>219</v>
      </c>
      <c r="L12" s="544" t="s">
        <v>218</v>
      </c>
      <c r="M12" s="73"/>
    </row>
    <row r="13" spans="2:13" ht="25.5" customHeight="1">
      <c r="B13" s="549"/>
      <c r="C13" s="551"/>
      <c r="D13" s="553"/>
      <c r="E13" s="74" t="s">
        <v>220</v>
      </c>
      <c r="F13" s="74" t="s">
        <v>221</v>
      </c>
      <c r="G13" s="75" t="s">
        <v>230</v>
      </c>
      <c r="H13" s="74" t="s">
        <v>220</v>
      </c>
      <c r="I13" s="74" t="s">
        <v>221</v>
      </c>
      <c r="J13" s="547"/>
      <c r="K13" s="547"/>
      <c r="L13" s="545"/>
      <c r="M13" s="73"/>
    </row>
    <row r="14" spans="2:13" ht="39.950000000000003" customHeight="1">
      <c r="B14" s="276">
        <v>1</v>
      </c>
      <c r="C14" s="268" t="str">
        <f>DataSiswa!B8</f>
        <v>9986980442</v>
      </c>
      <c r="D14" s="269" t="str">
        <f>DataSiswa!C8</f>
        <v>Aditya Taufik Sastra</v>
      </c>
      <c r="E14" s="239"/>
      <c r="F14" s="239"/>
      <c r="G14" s="270"/>
      <c r="H14" s="227">
        <f>(E14/100)*4</f>
        <v>0</v>
      </c>
      <c r="I14" s="227">
        <f>(F14/100)*4</f>
        <v>0</v>
      </c>
      <c r="J14" s="280"/>
      <c r="K14" s="281"/>
      <c r="L14" s="282"/>
      <c r="M14" s="81"/>
    </row>
    <row r="15" spans="2:13" ht="39.950000000000003" customHeight="1">
      <c r="B15" s="276">
        <v>2</v>
      </c>
      <c r="C15" s="268" t="str">
        <f>DataSiswa!B9</f>
        <v>9982907972</v>
      </c>
      <c r="D15" s="269" t="str">
        <f>DataSiswa!C9</f>
        <v>Angger Ghufron Pangestu</v>
      </c>
      <c r="E15" s="239"/>
      <c r="F15" s="239"/>
      <c r="G15" s="270"/>
      <c r="H15" s="227">
        <f t="shared" ref="H15:H53" si="0">(E15/100)*4</f>
        <v>0</v>
      </c>
      <c r="I15" s="227">
        <f t="shared" ref="I15:I53" si="1">(F15/100)*4</f>
        <v>0</v>
      </c>
      <c r="J15" s="280"/>
      <c r="K15" s="281"/>
      <c r="L15" s="282"/>
      <c r="M15" s="82"/>
    </row>
    <row r="16" spans="2:13" ht="39.950000000000003" customHeight="1">
      <c r="B16" s="276">
        <v>3</v>
      </c>
      <c r="C16" s="268" t="str">
        <f>DataSiswa!B10</f>
        <v>9983601594</v>
      </c>
      <c r="D16" s="269" t="str">
        <f>DataSiswa!C10</f>
        <v>Anjellia Novia Safitri</v>
      </c>
      <c r="E16" s="239"/>
      <c r="F16" s="239"/>
      <c r="G16" s="270"/>
      <c r="H16" s="227">
        <f t="shared" si="0"/>
        <v>0</v>
      </c>
      <c r="I16" s="227">
        <f t="shared" si="1"/>
        <v>0</v>
      </c>
      <c r="J16" s="280"/>
      <c r="K16" s="281"/>
      <c r="L16" s="282"/>
      <c r="M16" s="82"/>
    </row>
    <row r="17" spans="2:13" ht="39.950000000000003" customHeight="1">
      <c r="B17" s="276">
        <v>4</v>
      </c>
      <c r="C17" s="268" t="str">
        <f>DataSiswa!B11</f>
        <v>9989091797</v>
      </c>
      <c r="D17" s="269" t="str">
        <f>DataSiswa!C11</f>
        <v>Azis Fahrozi</v>
      </c>
      <c r="E17" s="239"/>
      <c r="F17" s="239"/>
      <c r="G17" s="270"/>
      <c r="H17" s="227">
        <f t="shared" si="0"/>
        <v>0</v>
      </c>
      <c r="I17" s="227">
        <f t="shared" si="1"/>
        <v>0</v>
      </c>
      <c r="J17" s="280"/>
      <c r="K17" s="281"/>
      <c r="L17" s="282"/>
      <c r="M17" s="82"/>
    </row>
    <row r="18" spans="2:13" ht="39.950000000000003" customHeight="1">
      <c r="B18" s="276">
        <v>5</v>
      </c>
      <c r="C18" s="268" t="str">
        <f>DataSiswa!B12</f>
        <v>9989983501</v>
      </c>
      <c r="D18" s="269" t="str">
        <f>DataSiswa!C12</f>
        <v>Berliana Monica</v>
      </c>
      <c r="E18" s="239"/>
      <c r="F18" s="239"/>
      <c r="G18" s="270"/>
      <c r="H18" s="227">
        <f t="shared" si="0"/>
        <v>0</v>
      </c>
      <c r="I18" s="227">
        <f t="shared" si="1"/>
        <v>0</v>
      </c>
      <c r="J18" s="280"/>
      <c r="K18" s="281"/>
      <c r="L18" s="282"/>
      <c r="M18" s="82"/>
    </row>
    <row r="19" spans="2:13" ht="39.950000000000003" customHeight="1">
      <c r="B19" s="276">
        <v>6</v>
      </c>
      <c r="C19" s="268" t="str">
        <f>DataSiswa!B13</f>
        <v>9970817548</v>
      </c>
      <c r="D19" s="269" t="str">
        <f>DataSiswa!C13</f>
        <v>Defri Nofriadi</v>
      </c>
      <c r="E19" s="239"/>
      <c r="F19" s="239"/>
      <c r="G19" s="270"/>
      <c r="H19" s="227">
        <f t="shared" si="0"/>
        <v>0</v>
      </c>
      <c r="I19" s="227">
        <f t="shared" si="1"/>
        <v>0</v>
      </c>
      <c r="J19" s="280"/>
      <c r="K19" s="281"/>
      <c r="L19" s="282"/>
      <c r="M19" s="82"/>
    </row>
    <row r="20" spans="2:13" ht="39.950000000000003" customHeight="1">
      <c r="B20" s="276">
        <v>7</v>
      </c>
      <c r="C20" s="268" t="str">
        <f>DataSiswa!B14</f>
        <v>9980817555</v>
      </c>
      <c r="D20" s="269" t="str">
        <f>DataSiswa!C14</f>
        <v>Dina Mardana Dulas</v>
      </c>
      <c r="E20" s="239"/>
      <c r="F20" s="239"/>
      <c r="G20" s="270"/>
      <c r="H20" s="227">
        <f t="shared" si="0"/>
        <v>0</v>
      </c>
      <c r="I20" s="227">
        <f t="shared" si="1"/>
        <v>0</v>
      </c>
      <c r="J20" s="280"/>
      <c r="K20" s="281"/>
      <c r="L20" s="282"/>
      <c r="M20" s="82"/>
    </row>
    <row r="21" spans="2:13" ht="39.950000000000003" customHeight="1">
      <c r="B21" s="276">
        <v>8</v>
      </c>
      <c r="C21" s="268" t="str">
        <f>DataSiswa!B15</f>
        <v>9980817812</v>
      </c>
      <c r="D21" s="269" t="str">
        <f>DataSiswa!C15</f>
        <v>Famella Putriadi</v>
      </c>
      <c r="E21" s="239"/>
      <c r="F21" s="239"/>
      <c r="G21" s="270"/>
      <c r="H21" s="227">
        <f t="shared" si="0"/>
        <v>0</v>
      </c>
      <c r="I21" s="227">
        <f t="shared" si="1"/>
        <v>0</v>
      </c>
      <c r="J21" s="280"/>
      <c r="K21" s="281"/>
      <c r="L21" s="282"/>
      <c r="M21" s="82"/>
    </row>
    <row r="22" spans="2:13" ht="39.950000000000003" customHeight="1">
      <c r="B22" s="276">
        <v>9</v>
      </c>
      <c r="C22" s="268" t="str">
        <f>DataSiswa!B16</f>
        <v>9986349049</v>
      </c>
      <c r="D22" s="269" t="str">
        <f>DataSiswa!C16</f>
        <v>Febrawati Fajlynd</v>
      </c>
      <c r="E22" s="239"/>
      <c r="F22" s="239"/>
      <c r="G22" s="270"/>
      <c r="H22" s="227">
        <f t="shared" si="0"/>
        <v>0</v>
      </c>
      <c r="I22" s="227">
        <f t="shared" si="1"/>
        <v>0</v>
      </c>
      <c r="J22" s="280"/>
      <c r="K22" s="281"/>
      <c r="L22" s="282"/>
      <c r="M22" s="82"/>
    </row>
    <row r="23" spans="2:13" ht="39.950000000000003" customHeight="1">
      <c r="B23" s="276">
        <v>10</v>
      </c>
      <c r="C23" s="268" t="str">
        <f>DataSiswa!B17</f>
        <v>9980673410</v>
      </c>
      <c r="D23" s="269" t="str">
        <f>DataSiswa!C17</f>
        <v>Fierro Perdana Ibrahim</v>
      </c>
      <c r="E23" s="239"/>
      <c r="F23" s="239"/>
      <c r="G23" s="270"/>
      <c r="H23" s="227">
        <f t="shared" si="0"/>
        <v>0</v>
      </c>
      <c r="I23" s="227">
        <f t="shared" si="1"/>
        <v>0</v>
      </c>
      <c r="J23" s="280"/>
      <c r="K23" s="281"/>
      <c r="L23" s="282"/>
      <c r="M23" s="82"/>
    </row>
    <row r="24" spans="2:13" ht="39.950000000000003" customHeight="1">
      <c r="B24" s="276">
        <v>11</v>
      </c>
      <c r="C24" s="268" t="str">
        <f>DataSiswa!B18</f>
        <v>9980817833</v>
      </c>
      <c r="D24" s="269" t="str">
        <f>DataSiswa!C18</f>
        <v>Jihan Salsabilla</v>
      </c>
      <c r="E24" s="239"/>
      <c r="F24" s="239"/>
      <c r="G24" s="270"/>
      <c r="H24" s="227">
        <f t="shared" si="0"/>
        <v>0</v>
      </c>
      <c r="I24" s="227">
        <f t="shared" si="1"/>
        <v>0</v>
      </c>
      <c r="J24" s="280"/>
      <c r="K24" s="281"/>
      <c r="L24" s="282"/>
      <c r="M24" s="82"/>
    </row>
    <row r="25" spans="2:13" ht="39.950000000000003" customHeight="1">
      <c r="B25" s="276">
        <v>12</v>
      </c>
      <c r="C25" s="268" t="str">
        <f>DataSiswa!B19</f>
        <v>9980065874</v>
      </c>
      <c r="D25" s="269" t="str">
        <f>DataSiswa!C19</f>
        <v>Karina Safira Rannas</v>
      </c>
      <c r="E25" s="239"/>
      <c r="F25" s="239"/>
      <c r="G25" s="270"/>
      <c r="H25" s="227">
        <f t="shared" si="0"/>
        <v>0</v>
      </c>
      <c r="I25" s="227">
        <f t="shared" si="1"/>
        <v>0</v>
      </c>
      <c r="J25" s="280"/>
      <c r="K25" s="281"/>
      <c r="L25" s="282"/>
      <c r="M25" s="82"/>
    </row>
    <row r="26" spans="2:13" ht="39.950000000000003" customHeight="1">
      <c r="B26" s="276">
        <v>13</v>
      </c>
      <c r="C26" s="268" t="str">
        <f>DataSiswa!B20</f>
        <v>9970816998</v>
      </c>
      <c r="D26" s="269" t="str">
        <f>DataSiswa!C20</f>
        <v>Loura Oktaviola</v>
      </c>
      <c r="E26" s="239"/>
      <c r="F26" s="239"/>
      <c r="G26" s="270"/>
      <c r="H26" s="227">
        <f t="shared" si="0"/>
        <v>0</v>
      </c>
      <c r="I26" s="227">
        <f t="shared" si="1"/>
        <v>0</v>
      </c>
      <c r="J26" s="280"/>
      <c r="K26" s="281"/>
      <c r="L26" s="282"/>
      <c r="M26" s="84"/>
    </row>
    <row r="27" spans="2:13" ht="39.950000000000003" customHeight="1">
      <c r="B27" s="276">
        <v>14</v>
      </c>
      <c r="C27" s="268" t="str">
        <f>DataSiswa!B21</f>
        <v>9982095456</v>
      </c>
      <c r="D27" s="269" t="str">
        <f>DataSiswa!C21</f>
        <v>Lauren Dwina Arini</v>
      </c>
      <c r="E27" s="239"/>
      <c r="F27" s="239"/>
      <c r="G27" s="270"/>
      <c r="H27" s="227">
        <f t="shared" si="0"/>
        <v>0</v>
      </c>
      <c r="I27" s="227">
        <f t="shared" si="1"/>
        <v>0</v>
      </c>
      <c r="J27" s="280"/>
      <c r="K27" s="281"/>
      <c r="L27" s="282"/>
      <c r="M27" s="85"/>
    </row>
    <row r="28" spans="2:13" ht="39.950000000000003" customHeight="1">
      <c r="B28" s="276">
        <v>15</v>
      </c>
      <c r="C28" s="268" t="str">
        <f>DataSiswa!B22</f>
        <v>9980817839</v>
      </c>
      <c r="D28" s="269" t="str">
        <f>DataSiswa!C22</f>
        <v>Leoni Syagna Velia</v>
      </c>
      <c r="E28" s="239"/>
      <c r="F28" s="239"/>
      <c r="G28" s="239"/>
      <c r="H28" s="227">
        <f t="shared" si="0"/>
        <v>0</v>
      </c>
      <c r="I28" s="227">
        <f t="shared" si="1"/>
        <v>0</v>
      </c>
      <c r="J28" s="280"/>
      <c r="K28" s="281"/>
      <c r="L28" s="282"/>
      <c r="M28" s="85"/>
    </row>
    <row r="29" spans="2:13" ht="39.950000000000003" customHeight="1">
      <c r="B29" s="276">
        <v>16</v>
      </c>
      <c r="C29" s="268" t="str">
        <f>DataSiswa!B23</f>
        <v>9982885002</v>
      </c>
      <c r="D29" s="269" t="str">
        <f>DataSiswa!C23</f>
        <v>Mia Larisa Waskito</v>
      </c>
      <c r="E29" s="239"/>
      <c r="F29" s="239"/>
      <c r="G29" s="239"/>
      <c r="H29" s="227">
        <f t="shared" si="0"/>
        <v>0</v>
      </c>
      <c r="I29" s="227">
        <f t="shared" si="1"/>
        <v>0</v>
      </c>
      <c r="J29" s="280"/>
      <c r="K29" s="281"/>
      <c r="L29" s="282"/>
      <c r="M29" s="85"/>
    </row>
    <row r="30" spans="2:13" ht="39.950000000000003" customHeight="1">
      <c r="B30" s="276">
        <v>17</v>
      </c>
      <c r="C30" s="268" t="str">
        <f>DataSiswa!B24</f>
        <v>9983996707</v>
      </c>
      <c r="D30" s="269">
        <f>DataGuru!E36</f>
        <v>0</v>
      </c>
      <c r="E30" s="239"/>
      <c r="F30" s="239"/>
      <c r="G30" s="239"/>
      <c r="H30" s="227">
        <f t="shared" si="0"/>
        <v>0</v>
      </c>
      <c r="I30" s="227">
        <f t="shared" si="1"/>
        <v>0</v>
      </c>
      <c r="J30" s="280"/>
      <c r="K30" s="281"/>
      <c r="L30" s="282"/>
      <c r="M30" s="85"/>
    </row>
    <row r="31" spans="2:13" ht="39.950000000000003" customHeight="1">
      <c r="B31" s="276">
        <v>18</v>
      </c>
      <c r="C31" s="268" t="str">
        <f>DataSiswa!B25</f>
        <v>9981328630</v>
      </c>
      <c r="D31" s="269" t="str">
        <f>DataSiswa!C25</f>
        <v>Muhammad Ilham Fajri</v>
      </c>
      <c r="E31" s="239"/>
      <c r="F31" s="239"/>
      <c r="G31" s="239"/>
      <c r="H31" s="227">
        <f t="shared" si="0"/>
        <v>0</v>
      </c>
      <c r="I31" s="227">
        <f t="shared" si="1"/>
        <v>0</v>
      </c>
      <c r="J31" s="280"/>
      <c r="K31" s="281"/>
      <c r="L31" s="282"/>
      <c r="M31" s="85"/>
    </row>
    <row r="32" spans="2:13" ht="39.950000000000003" customHeight="1">
      <c r="B32" s="276">
        <v>19</v>
      </c>
      <c r="C32" s="268" t="str">
        <f>DataSiswa!B26</f>
        <v>9980830799</v>
      </c>
      <c r="D32" s="269" t="str">
        <f>DataSiswa!C26</f>
        <v>Muhammad Irfan</v>
      </c>
      <c r="E32" s="239"/>
      <c r="F32" s="239"/>
      <c r="G32" s="239"/>
      <c r="H32" s="227">
        <f t="shared" si="0"/>
        <v>0</v>
      </c>
      <c r="I32" s="227">
        <f t="shared" si="1"/>
        <v>0</v>
      </c>
      <c r="J32" s="280"/>
      <c r="K32" s="281"/>
      <c r="L32" s="282"/>
      <c r="M32" s="85"/>
    </row>
    <row r="33" spans="2:13" ht="39.950000000000003" customHeight="1">
      <c r="B33" s="276">
        <v>20</v>
      </c>
      <c r="C33" s="268" t="str">
        <f>DataSiswa!B27</f>
        <v>9981704177</v>
      </c>
      <c r="D33" s="269" t="str">
        <f>DataSiswa!C27</f>
        <v>Naura Cantika</v>
      </c>
      <c r="E33" s="239"/>
      <c r="F33" s="239"/>
      <c r="G33" s="239"/>
      <c r="H33" s="227">
        <f t="shared" si="0"/>
        <v>0</v>
      </c>
      <c r="I33" s="227">
        <f t="shared" si="1"/>
        <v>0</v>
      </c>
      <c r="J33" s="280"/>
      <c r="K33" s="281"/>
      <c r="L33" s="282"/>
      <c r="M33" s="85"/>
    </row>
    <row r="34" spans="2:13" ht="39.950000000000003" customHeight="1">
      <c r="B34" s="276">
        <v>21</v>
      </c>
      <c r="C34" s="268" t="str">
        <f>DataSiswa!B28</f>
        <v>9980810523</v>
      </c>
      <c r="D34" s="269" t="str">
        <f>DataSiswa!C28</f>
        <v>Nurul Putri Salsabila</v>
      </c>
      <c r="E34" s="239"/>
      <c r="F34" s="239"/>
      <c r="G34" s="239"/>
      <c r="H34" s="227">
        <f t="shared" si="0"/>
        <v>0</v>
      </c>
      <c r="I34" s="227">
        <f t="shared" si="1"/>
        <v>0</v>
      </c>
      <c r="J34" s="280"/>
      <c r="K34" s="281"/>
      <c r="L34" s="282"/>
      <c r="M34" s="85"/>
    </row>
    <row r="35" spans="2:13" ht="39.950000000000003" customHeight="1">
      <c r="B35" s="276">
        <v>22</v>
      </c>
      <c r="C35" s="268" t="str">
        <f>DataSiswa!B29</f>
        <v>9998982066</v>
      </c>
      <c r="D35" s="269" t="str">
        <f>DataSiswa!C29</f>
        <v>Rafi Fikriya Riza</v>
      </c>
      <c r="E35" s="239"/>
      <c r="F35" s="239"/>
      <c r="G35" s="239"/>
      <c r="H35" s="227">
        <f t="shared" si="0"/>
        <v>0</v>
      </c>
      <c r="I35" s="227">
        <f t="shared" si="1"/>
        <v>0</v>
      </c>
      <c r="J35" s="280"/>
      <c r="K35" s="281"/>
      <c r="L35" s="282"/>
      <c r="M35" s="85"/>
    </row>
    <row r="36" spans="2:13" ht="39.950000000000003" customHeight="1">
      <c r="B36" s="276">
        <v>23</v>
      </c>
      <c r="C36" s="268" t="str">
        <f>DataSiswa!B30</f>
        <v>9985967994</v>
      </c>
      <c r="D36" s="269" t="str">
        <f>DataSiswa!C30</f>
        <v>Restu Tria Bahri</v>
      </c>
      <c r="E36" s="239"/>
      <c r="F36" s="239"/>
      <c r="G36" s="239"/>
      <c r="H36" s="227">
        <f t="shared" si="0"/>
        <v>0</v>
      </c>
      <c r="I36" s="227">
        <f t="shared" si="1"/>
        <v>0</v>
      </c>
      <c r="J36" s="280"/>
      <c r="K36" s="281"/>
      <c r="L36" s="282"/>
      <c r="M36" s="85"/>
    </row>
    <row r="37" spans="2:13" ht="39.950000000000003" customHeight="1">
      <c r="B37" s="276">
        <v>24</v>
      </c>
      <c r="C37" s="268" t="str">
        <f>DataSiswa!B31</f>
        <v>9980799351</v>
      </c>
      <c r="D37" s="269" t="str">
        <f>DataSiswa!C31</f>
        <v>Rifka Esofita</v>
      </c>
      <c r="E37" s="239"/>
      <c r="F37" s="239"/>
      <c r="G37" s="239"/>
      <c r="H37" s="227">
        <f t="shared" si="0"/>
        <v>0</v>
      </c>
      <c r="I37" s="227">
        <f t="shared" si="1"/>
        <v>0</v>
      </c>
      <c r="J37" s="280"/>
      <c r="K37" s="281"/>
      <c r="L37" s="282"/>
      <c r="M37" s="85"/>
    </row>
    <row r="38" spans="2:13" ht="39.950000000000003" customHeight="1">
      <c r="B38" s="276">
        <v>25</v>
      </c>
      <c r="C38" s="268" t="str">
        <f>DataSiswa!B32</f>
        <v>9982095495</v>
      </c>
      <c r="D38" s="269" t="str">
        <f>DataSiswa!C32</f>
        <v>Rifo Ranofan</v>
      </c>
      <c r="E38" s="239"/>
      <c r="F38" s="239"/>
      <c r="G38" s="239"/>
      <c r="H38" s="227">
        <f t="shared" si="0"/>
        <v>0</v>
      </c>
      <c r="I38" s="227">
        <f t="shared" si="1"/>
        <v>0</v>
      </c>
      <c r="J38" s="280"/>
      <c r="K38" s="281"/>
      <c r="L38" s="282"/>
      <c r="M38" s="85"/>
    </row>
    <row r="39" spans="2:13" ht="39.950000000000003" customHeight="1">
      <c r="B39" s="276">
        <v>26</v>
      </c>
      <c r="C39" s="268" t="str">
        <f>DataSiswa!B33</f>
        <v>9985858026</v>
      </c>
      <c r="D39" s="269" t="str">
        <f>DataSiswa!C33</f>
        <v>Stephany Widyanti</v>
      </c>
      <c r="E39" s="239"/>
      <c r="F39" s="239"/>
      <c r="G39" s="272"/>
      <c r="H39" s="227">
        <f t="shared" si="0"/>
        <v>0</v>
      </c>
      <c r="I39" s="227">
        <f t="shared" si="1"/>
        <v>0</v>
      </c>
      <c r="J39" s="283"/>
      <c r="K39" s="284"/>
      <c r="L39" s="285"/>
      <c r="M39" s="85"/>
    </row>
    <row r="40" spans="2:13" ht="39.950000000000003" customHeight="1">
      <c r="B40" s="276">
        <v>27</v>
      </c>
      <c r="C40" s="268" t="str">
        <f>DataSiswa!B34</f>
        <v>9980818512</v>
      </c>
      <c r="D40" s="269" t="str">
        <f>DataSiswa!C34</f>
        <v>Tiara Yulianti</v>
      </c>
      <c r="E40" s="239"/>
      <c r="F40" s="239"/>
      <c r="G40" s="272"/>
      <c r="H40" s="227">
        <f t="shared" si="0"/>
        <v>0</v>
      </c>
      <c r="I40" s="227">
        <f t="shared" si="1"/>
        <v>0</v>
      </c>
      <c r="J40" s="283"/>
      <c r="K40" s="284"/>
      <c r="L40" s="285"/>
      <c r="M40" s="85"/>
    </row>
    <row r="41" spans="2:13" ht="39.950000000000003" customHeight="1">
      <c r="B41" s="276">
        <v>28</v>
      </c>
      <c r="C41" s="268" t="str">
        <f>DataSiswa!B35</f>
        <v>9982393794</v>
      </c>
      <c r="D41" s="269" t="str">
        <f>DataSiswa!C35</f>
        <v>Tika Wandira</v>
      </c>
      <c r="E41" s="239"/>
      <c r="F41" s="239"/>
      <c r="G41" s="272"/>
      <c r="H41" s="227">
        <f t="shared" si="0"/>
        <v>0</v>
      </c>
      <c r="I41" s="227">
        <f t="shared" si="1"/>
        <v>0</v>
      </c>
      <c r="J41" s="283"/>
      <c r="K41" s="284"/>
      <c r="L41" s="285"/>
      <c r="M41" s="85"/>
    </row>
    <row r="42" spans="2:13" ht="39.950000000000003" customHeight="1">
      <c r="B42" s="276">
        <v>29</v>
      </c>
      <c r="C42" s="268" t="str">
        <f>DataSiswa!B36</f>
        <v>9980818720</v>
      </c>
      <c r="D42" s="269" t="str">
        <f>DataSiswa!C36</f>
        <v>Ulfa Febriyani</v>
      </c>
      <c r="E42" s="239"/>
      <c r="F42" s="239"/>
      <c r="G42" s="272"/>
      <c r="H42" s="227">
        <f t="shared" si="0"/>
        <v>0</v>
      </c>
      <c r="I42" s="227">
        <f t="shared" si="1"/>
        <v>0</v>
      </c>
      <c r="J42" s="283"/>
      <c r="K42" s="284"/>
      <c r="L42" s="285"/>
      <c r="M42" s="85"/>
    </row>
    <row r="43" spans="2:13" ht="39.950000000000003" customHeight="1">
      <c r="B43" s="276">
        <v>30</v>
      </c>
      <c r="C43" s="268" t="str">
        <f>DataSiswa!B37</f>
        <v>9990756408</v>
      </c>
      <c r="D43" s="269" t="str">
        <f>DataSiswa!C37</f>
        <v>Valdy Filando Sardi</v>
      </c>
      <c r="E43" s="239"/>
      <c r="F43" s="239"/>
      <c r="G43" s="272"/>
      <c r="H43" s="227">
        <f t="shared" si="0"/>
        <v>0</v>
      </c>
      <c r="I43" s="227">
        <f t="shared" si="1"/>
        <v>0</v>
      </c>
      <c r="J43" s="283"/>
      <c r="K43" s="284"/>
      <c r="L43" s="285"/>
      <c r="M43" s="85"/>
    </row>
    <row r="44" spans="2:13" ht="39.950000000000003" customHeight="1">
      <c r="B44" s="276">
        <v>31</v>
      </c>
      <c r="C44" s="268" t="str">
        <f>DataSiswa!B38</f>
        <v>9980816670</v>
      </c>
      <c r="D44" s="269" t="str">
        <f>DataSiswa!C38</f>
        <v>Vonny Maitaveri</v>
      </c>
      <c r="E44" s="239"/>
      <c r="F44" s="239"/>
      <c r="G44" s="272"/>
      <c r="H44" s="227">
        <f t="shared" si="0"/>
        <v>0</v>
      </c>
      <c r="I44" s="227">
        <f t="shared" si="1"/>
        <v>0</v>
      </c>
      <c r="J44" s="283"/>
      <c r="K44" s="284"/>
      <c r="L44" s="285"/>
      <c r="M44" s="85"/>
    </row>
    <row r="45" spans="2:13" ht="39.950000000000003" customHeight="1">
      <c r="B45" s="276">
        <v>32</v>
      </c>
      <c r="C45" s="268" t="str">
        <f>DataSiswa!B39</f>
        <v>9982889268</v>
      </c>
      <c r="D45" s="269" t="str">
        <f>DataSiswa!C39</f>
        <v>Wahyu Yolanda</v>
      </c>
      <c r="E45" s="239"/>
      <c r="F45" s="239"/>
      <c r="G45" s="272"/>
      <c r="H45" s="227">
        <f t="shared" si="0"/>
        <v>0</v>
      </c>
      <c r="I45" s="227">
        <f t="shared" si="1"/>
        <v>0</v>
      </c>
      <c r="J45" s="283"/>
      <c r="K45" s="284"/>
      <c r="L45" s="285"/>
      <c r="M45" s="85"/>
    </row>
    <row r="46" spans="2:13" ht="39.950000000000003" customHeight="1">
      <c r="B46" s="276">
        <v>33</v>
      </c>
      <c r="C46" s="268">
        <f>DataSiswa!B40</f>
        <v>0</v>
      </c>
      <c r="D46" s="269">
        <f>DataSiswa!C40</f>
        <v>0</v>
      </c>
      <c r="E46" s="239"/>
      <c r="F46" s="239"/>
      <c r="G46" s="272"/>
      <c r="H46" s="227">
        <f t="shared" si="0"/>
        <v>0</v>
      </c>
      <c r="I46" s="227">
        <f t="shared" si="1"/>
        <v>0</v>
      </c>
      <c r="J46" s="283"/>
      <c r="K46" s="284"/>
      <c r="L46" s="285"/>
      <c r="M46" s="85"/>
    </row>
    <row r="47" spans="2:13" ht="39.950000000000003" customHeight="1">
      <c r="B47" s="276">
        <v>34</v>
      </c>
      <c r="C47" s="268">
        <f>DataSiswa!B41</f>
        <v>0</v>
      </c>
      <c r="D47" s="269">
        <f>DataSiswa!C41</f>
        <v>0</v>
      </c>
      <c r="E47" s="239"/>
      <c r="F47" s="239"/>
      <c r="G47" s="272"/>
      <c r="H47" s="227">
        <f t="shared" si="0"/>
        <v>0</v>
      </c>
      <c r="I47" s="227">
        <f t="shared" si="1"/>
        <v>0</v>
      </c>
      <c r="J47" s="283"/>
      <c r="K47" s="284"/>
      <c r="L47" s="285"/>
      <c r="M47" s="85"/>
    </row>
    <row r="48" spans="2:13" ht="39.950000000000003" customHeight="1">
      <c r="B48" s="276">
        <v>35</v>
      </c>
      <c r="C48" s="268">
        <f>DataSiswa!B42</f>
        <v>0</v>
      </c>
      <c r="D48" s="269">
        <f>DataSiswa!C42</f>
        <v>0</v>
      </c>
      <c r="E48" s="239"/>
      <c r="F48" s="239"/>
      <c r="G48" s="272"/>
      <c r="H48" s="227">
        <f t="shared" si="0"/>
        <v>0</v>
      </c>
      <c r="I48" s="227">
        <f t="shared" si="1"/>
        <v>0</v>
      </c>
      <c r="J48" s="283"/>
      <c r="K48" s="284"/>
      <c r="L48" s="285"/>
      <c r="M48" s="85"/>
    </row>
    <row r="49" spans="2:13" ht="39.950000000000003" customHeight="1">
      <c r="B49" s="276">
        <v>36</v>
      </c>
      <c r="C49" s="268">
        <f>DataSiswa!B43</f>
        <v>0</v>
      </c>
      <c r="D49" s="269">
        <f>DataSiswa!C43</f>
        <v>0</v>
      </c>
      <c r="E49" s="239"/>
      <c r="F49" s="239"/>
      <c r="G49" s="272"/>
      <c r="H49" s="227">
        <f t="shared" si="0"/>
        <v>0</v>
      </c>
      <c r="I49" s="227">
        <f t="shared" si="1"/>
        <v>0</v>
      </c>
      <c r="J49" s="283"/>
      <c r="K49" s="284"/>
      <c r="L49" s="285"/>
      <c r="M49" s="85"/>
    </row>
    <row r="50" spans="2:13" ht="39.950000000000003" customHeight="1">
      <c r="B50" s="276">
        <v>37</v>
      </c>
      <c r="C50" s="268">
        <f>DataSiswa!B44</f>
        <v>0</v>
      </c>
      <c r="D50" s="269">
        <f>DataSiswa!C44</f>
        <v>0</v>
      </c>
      <c r="E50" s="239"/>
      <c r="F50" s="239"/>
      <c r="G50" s="272"/>
      <c r="H50" s="227">
        <f t="shared" si="0"/>
        <v>0</v>
      </c>
      <c r="I50" s="227">
        <f t="shared" si="1"/>
        <v>0</v>
      </c>
      <c r="J50" s="283"/>
      <c r="K50" s="284"/>
      <c r="L50" s="285"/>
      <c r="M50" s="85"/>
    </row>
    <row r="51" spans="2:13" ht="39.950000000000003" customHeight="1">
      <c r="B51" s="276">
        <v>38</v>
      </c>
      <c r="C51" s="268">
        <f>DataSiswa!B45</f>
        <v>0</v>
      </c>
      <c r="D51" s="269">
        <f>DataSiswa!C45</f>
        <v>0</v>
      </c>
      <c r="E51" s="239"/>
      <c r="F51" s="239"/>
      <c r="G51" s="272"/>
      <c r="H51" s="227">
        <f t="shared" si="0"/>
        <v>0</v>
      </c>
      <c r="I51" s="227">
        <f t="shared" si="1"/>
        <v>0</v>
      </c>
      <c r="J51" s="283"/>
      <c r="K51" s="284"/>
      <c r="L51" s="285"/>
      <c r="M51" s="85"/>
    </row>
    <row r="52" spans="2:13" ht="39.950000000000003" customHeight="1">
      <c r="B52" s="276">
        <v>39</v>
      </c>
      <c r="C52" s="268">
        <f>DataSiswa!B46</f>
        <v>0</v>
      </c>
      <c r="D52" s="269">
        <f>DataSiswa!C46</f>
        <v>0</v>
      </c>
      <c r="E52" s="239"/>
      <c r="F52" s="239"/>
      <c r="G52" s="272"/>
      <c r="H52" s="227">
        <f t="shared" si="0"/>
        <v>0</v>
      </c>
      <c r="I52" s="227">
        <f t="shared" si="1"/>
        <v>0</v>
      </c>
      <c r="J52" s="283"/>
      <c r="K52" s="284"/>
      <c r="L52" s="285"/>
      <c r="M52" s="85"/>
    </row>
    <row r="53" spans="2:13" ht="39.950000000000003" customHeight="1" thickBot="1">
      <c r="B53" s="277">
        <v>40</v>
      </c>
      <c r="C53" s="278">
        <f>DataSiswa!B47</f>
        <v>0</v>
      </c>
      <c r="D53" s="279">
        <f>DataSiswa!C47</f>
        <v>0</v>
      </c>
      <c r="E53" s="273"/>
      <c r="F53" s="273"/>
      <c r="G53" s="274"/>
      <c r="H53" s="227">
        <f t="shared" si="0"/>
        <v>0</v>
      </c>
      <c r="I53" s="227">
        <f t="shared" si="1"/>
        <v>0</v>
      </c>
      <c r="J53" s="286"/>
      <c r="K53" s="287"/>
      <c r="L53" s="288"/>
      <c r="M53" s="85"/>
    </row>
    <row r="54" spans="2:13" ht="15.75" thickTop="1"/>
  </sheetData>
  <mergeCells count="16">
    <mergeCell ref="K12:K13"/>
    <mergeCell ref="L12:L13"/>
    <mergeCell ref="B12:B13"/>
    <mergeCell ref="C12:C13"/>
    <mergeCell ref="D12:D13"/>
    <mergeCell ref="E12:G12"/>
    <mergeCell ref="H12:I12"/>
    <mergeCell ref="J12:J13"/>
    <mergeCell ref="B4:C4"/>
    <mergeCell ref="B6:C6"/>
    <mergeCell ref="B8:C8"/>
    <mergeCell ref="F8:G8"/>
    <mergeCell ref="J8:J10"/>
    <mergeCell ref="B9:C9"/>
    <mergeCell ref="F9:G10"/>
    <mergeCell ref="B10:C10"/>
  </mergeCells>
  <pageMargins left="0.7" right="0.7" top="0.75" bottom="0.75" header="0.3" footer="0.3"/>
  <pageSetup orientation="portrait" horizontalDpi="4294967293"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B2:I49"/>
  <sheetViews>
    <sheetView showGridLines="0" topLeftCell="A37" workbookViewId="0">
      <selection activeCell="H39" sqref="H39"/>
    </sheetView>
  </sheetViews>
  <sheetFormatPr defaultRowHeight="15"/>
  <cols>
    <col min="1" max="1" width="10.28515625" style="127" customWidth="1"/>
    <col min="2" max="2" width="4" style="127" customWidth="1"/>
    <col min="3" max="3" width="5.28515625" style="127" customWidth="1"/>
    <col min="4" max="4" width="10" style="127" customWidth="1"/>
    <col min="5" max="5" width="26.85546875" style="127" customWidth="1"/>
    <col min="6" max="6" width="51.85546875" style="127" customWidth="1"/>
    <col min="7" max="7" width="3.5703125" style="127" customWidth="1"/>
    <col min="8" max="8" width="9.140625" style="127"/>
    <col min="9" max="9" width="11.5703125" style="127" customWidth="1"/>
    <col min="10" max="16384" width="9.140625" style="127"/>
  </cols>
  <sheetData>
    <row r="2" spans="2:9" ht="18.75" customHeight="1" thickBot="1"/>
    <row r="3" spans="2:9" ht="14.25" customHeight="1" thickTop="1">
      <c r="B3" s="60"/>
      <c r="C3" s="60"/>
      <c r="D3" s="60"/>
      <c r="E3" s="60"/>
      <c r="F3" s="60"/>
      <c r="G3" s="60"/>
      <c r="I3" s="575" t="s">
        <v>243</v>
      </c>
    </row>
    <row r="4" spans="2:9" ht="15.75" thickBot="1">
      <c r="B4" s="60"/>
      <c r="C4" s="21"/>
      <c r="D4" s="21"/>
      <c r="E4" s="21"/>
      <c r="F4" s="21"/>
      <c r="G4" s="60"/>
      <c r="I4" s="576"/>
    </row>
    <row r="5" spans="2:9" ht="19.5" thickTop="1">
      <c r="B5" s="60"/>
      <c r="C5" s="21"/>
      <c r="D5" s="128" t="s">
        <v>245</v>
      </c>
      <c r="E5" s="21"/>
      <c r="F5" s="21"/>
      <c r="G5" s="60"/>
    </row>
    <row r="6" spans="2:9">
      <c r="B6" s="60"/>
      <c r="C6" s="21"/>
      <c r="D6" s="21"/>
      <c r="E6" s="21"/>
      <c r="F6" s="21"/>
      <c r="G6" s="60"/>
    </row>
    <row r="7" spans="2:9" ht="17.25" customHeight="1" thickBot="1">
      <c r="B7" s="60"/>
      <c r="C7" s="573" t="s">
        <v>48</v>
      </c>
      <c r="D7" s="573" t="s">
        <v>63</v>
      </c>
      <c r="E7" s="573" t="s">
        <v>54</v>
      </c>
      <c r="F7" s="574" t="s">
        <v>299</v>
      </c>
      <c r="G7" s="60"/>
    </row>
    <row r="8" spans="2:9" ht="20.25" customHeight="1" thickBot="1">
      <c r="B8" s="60"/>
      <c r="C8" s="573"/>
      <c r="D8" s="573"/>
      <c r="E8" s="573"/>
      <c r="F8" s="574"/>
      <c r="G8" s="60"/>
    </row>
    <row r="9" spans="2:9" ht="63.75">
      <c r="B9" s="60"/>
      <c r="C9" s="301">
        <v>1</v>
      </c>
      <c r="D9" s="302" t="str">
        <f>DataSiswa!B8</f>
        <v>9986980442</v>
      </c>
      <c r="E9" s="303" t="str">
        <f>DataSiswa!C8</f>
        <v>Aditya Taufik Sastra</v>
      </c>
      <c r="F9" s="129" t="s">
        <v>296</v>
      </c>
      <c r="G9" s="60"/>
    </row>
    <row r="10" spans="2:9" ht="39.950000000000003" customHeight="1">
      <c r="B10" s="60"/>
      <c r="C10" s="304">
        <v>2</v>
      </c>
      <c r="D10" s="302" t="str">
        <f>DataSiswa!B9</f>
        <v>9982907972</v>
      </c>
      <c r="E10" s="303" t="str">
        <f>DataSiswa!C9</f>
        <v>Angger Ghufron Pangestu</v>
      </c>
      <c r="F10" s="129" t="s">
        <v>296</v>
      </c>
      <c r="G10" s="60"/>
    </row>
    <row r="11" spans="2:9" ht="39.950000000000003" customHeight="1">
      <c r="B11" s="60"/>
      <c r="C11" s="304">
        <v>3</v>
      </c>
      <c r="D11" s="302" t="str">
        <f>DataSiswa!B10</f>
        <v>9983601594</v>
      </c>
      <c r="E11" s="303" t="str">
        <f>DataSiswa!C10</f>
        <v>Anjellia Novia Safitri</v>
      </c>
      <c r="F11" s="129" t="s">
        <v>296</v>
      </c>
      <c r="G11" s="60"/>
    </row>
    <row r="12" spans="2:9" ht="39.950000000000003" customHeight="1">
      <c r="B12" s="60"/>
      <c r="C12" s="301">
        <v>4</v>
      </c>
      <c r="D12" s="302" t="str">
        <f>DataSiswa!B11</f>
        <v>9989091797</v>
      </c>
      <c r="E12" s="303" t="str">
        <f>DataSiswa!C11</f>
        <v>Azis Fahrozi</v>
      </c>
      <c r="F12" s="129" t="s">
        <v>296</v>
      </c>
      <c r="G12" s="60"/>
    </row>
    <row r="13" spans="2:9" ht="39.950000000000003" customHeight="1">
      <c r="B13" s="60"/>
      <c r="C13" s="304">
        <v>5</v>
      </c>
      <c r="D13" s="302" t="str">
        <f>DataSiswa!B12</f>
        <v>9989983501</v>
      </c>
      <c r="E13" s="303" t="str">
        <f>DataSiswa!C12</f>
        <v>Berliana Monica</v>
      </c>
      <c r="F13" s="129" t="s">
        <v>296</v>
      </c>
      <c r="G13" s="60"/>
    </row>
    <row r="14" spans="2:9" ht="39.950000000000003" customHeight="1">
      <c r="B14" s="60"/>
      <c r="C14" s="304">
        <v>6</v>
      </c>
      <c r="D14" s="302" t="str">
        <f>DataSiswa!B13</f>
        <v>9970817548</v>
      </c>
      <c r="E14" s="303" t="str">
        <f>DataSiswa!C13</f>
        <v>Defri Nofriadi</v>
      </c>
      <c r="F14" s="129" t="s">
        <v>296</v>
      </c>
      <c r="G14" s="60"/>
    </row>
    <row r="15" spans="2:9" ht="39.950000000000003" customHeight="1">
      <c r="B15" s="60"/>
      <c r="C15" s="301">
        <v>7</v>
      </c>
      <c r="D15" s="302" t="str">
        <f>DataSiswa!B14</f>
        <v>9980817555</v>
      </c>
      <c r="E15" s="303" t="str">
        <f>DataSiswa!C14</f>
        <v>Dina Mardana Dulas</v>
      </c>
      <c r="F15" s="129" t="s">
        <v>296</v>
      </c>
      <c r="G15" s="60"/>
    </row>
    <row r="16" spans="2:9" ht="39.950000000000003" customHeight="1">
      <c r="B16" s="60"/>
      <c r="C16" s="304">
        <v>8</v>
      </c>
      <c r="D16" s="302" t="str">
        <f>DataSiswa!B15</f>
        <v>9980817812</v>
      </c>
      <c r="E16" s="303" t="str">
        <f>DataSiswa!C15</f>
        <v>Famella Putriadi</v>
      </c>
      <c r="F16" s="129" t="s">
        <v>296</v>
      </c>
      <c r="G16" s="60"/>
    </row>
    <row r="17" spans="2:7" ht="39.950000000000003" customHeight="1">
      <c r="B17" s="60"/>
      <c r="C17" s="304">
        <v>9</v>
      </c>
      <c r="D17" s="302" t="str">
        <f>DataSiswa!B16</f>
        <v>9986349049</v>
      </c>
      <c r="E17" s="303" t="str">
        <f>DataSiswa!C16</f>
        <v>Febrawati Fajlynd</v>
      </c>
      <c r="F17" s="129" t="s">
        <v>296</v>
      </c>
      <c r="G17" s="60"/>
    </row>
    <row r="18" spans="2:7" ht="39.950000000000003" customHeight="1">
      <c r="B18" s="60"/>
      <c r="C18" s="301">
        <v>10</v>
      </c>
      <c r="D18" s="302" t="str">
        <f>DataSiswa!B17</f>
        <v>9980673410</v>
      </c>
      <c r="E18" s="303" t="str">
        <f>DataSiswa!C17</f>
        <v>Fierro Perdana Ibrahim</v>
      </c>
      <c r="F18" s="129" t="s">
        <v>296</v>
      </c>
      <c r="G18" s="60"/>
    </row>
    <row r="19" spans="2:7" ht="39.950000000000003" customHeight="1">
      <c r="B19" s="60"/>
      <c r="C19" s="304">
        <v>11</v>
      </c>
      <c r="D19" s="302" t="str">
        <f>DataSiswa!B18</f>
        <v>9980817833</v>
      </c>
      <c r="E19" s="303" t="str">
        <f>DataSiswa!C18</f>
        <v>Jihan Salsabilla</v>
      </c>
      <c r="F19" s="129" t="s">
        <v>296</v>
      </c>
      <c r="G19" s="60"/>
    </row>
    <row r="20" spans="2:7" ht="39.950000000000003" customHeight="1">
      <c r="B20" s="60"/>
      <c r="C20" s="304">
        <v>12</v>
      </c>
      <c r="D20" s="302" t="str">
        <f>DataSiswa!B19</f>
        <v>9980065874</v>
      </c>
      <c r="E20" s="303" t="str">
        <f>DataSiswa!C19</f>
        <v>Karina Safira Rannas</v>
      </c>
      <c r="F20" s="129" t="s">
        <v>296</v>
      </c>
      <c r="G20" s="60"/>
    </row>
    <row r="21" spans="2:7" ht="39.950000000000003" customHeight="1">
      <c r="B21" s="60"/>
      <c r="C21" s="301">
        <v>13</v>
      </c>
      <c r="D21" s="302" t="str">
        <f>DataSiswa!B20</f>
        <v>9970816998</v>
      </c>
      <c r="E21" s="303" t="str">
        <f>DataSiswa!C20</f>
        <v>Loura Oktaviola</v>
      </c>
      <c r="F21" s="129" t="s">
        <v>296</v>
      </c>
      <c r="G21" s="60"/>
    </row>
    <row r="22" spans="2:7" ht="39.950000000000003" customHeight="1">
      <c r="B22" s="60"/>
      <c r="C22" s="304">
        <v>14</v>
      </c>
      <c r="D22" s="302" t="str">
        <f>DataSiswa!B21</f>
        <v>9982095456</v>
      </c>
      <c r="E22" s="303" t="str">
        <f>DataSiswa!C21</f>
        <v>Lauren Dwina Arini</v>
      </c>
      <c r="F22" s="129" t="s">
        <v>296</v>
      </c>
      <c r="G22" s="60"/>
    </row>
    <row r="23" spans="2:7" ht="39.950000000000003" customHeight="1">
      <c r="B23" s="60"/>
      <c r="C23" s="304">
        <v>15</v>
      </c>
      <c r="D23" s="302" t="str">
        <f>DataSiswa!B22</f>
        <v>9980817839</v>
      </c>
      <c r="E23" s="303" t="str">
        <f>DataSiswa!C22</f>
        <v>Leoni Syagna Velia</v>
      </c>
      <c r="F23" s="129" t="s">
        <v>296</v>
      </c>
      <c r="G23" s="60"/>
    </row>
    <row r="24" spans="2:7" ht="39.950000000000003" customHeight="1">
      <c r="B24" s="60"/>
      <c r="C24" s="301">
        <v>16</v>
      </c>
      <c r="D24" s="302" t="str">
        <f>DataSiswa!B23</f>
        <v>9982885002</v>
      </c>
      <c r="E24" s="303" t="str">
        <f>DataSiswa!C23</f>
        <v>Mia Larisa Waskito</v>
      </c>
      <c r="F24" s="129" t="s">
        <v>296</v>
      </c>
      <c r="G24" s="60"/>
    </row>
    <row r="25" spans="2:7" ht="39.950000000000003" customHeight="1">
      <c r="B25" s="60"/>
      <c r="C25" s="304">
        <v>17</v>
      </c>
      <c r="D25" s="302" t="str">
        <f>DataSiswa!B24</f>
        <v>9983996707</v>
      </c>
      <c r="E25" s="303" t="str">
        <f>DataSiswa!C24</f>
        <v>Muhammad Fadel</v>
      </c>
      <c r="F25" s="129" t="s">
        <v>296</v>
      </c>
      <c r="G25" s="60"/>
    </row>
    <row r="26" spans="2:7" ht="39.950000000000003" customHeight="1">
      <c r="B26" s="60"/>
      <c r="C26" s="304">
        <v>18</v>
      </c>
      <c r="D26" s="302" t="str">
        <f>DataSiswa!B25</f>
        <v>9981328630</v>
      </c>
      <c r="E26" s="303" t="str">
        <f>DataSiswa!C25</f>
        <v>Muhammad Ilham Fajri</v>
      </c>
      <c r="F26" s="129" t="s">
        <v>296</v>
      </c>
      <c r="G26" s="60"/>
    </row>
    <row r="27" spans="2:7" ht="39.950000000000003" customHeight="1">
      <c r="B27" s="60"/>
      <c r="C27" s="301">
        <v>19</v>
      </c>
      <c r="D27" s="302" t="str">
        <f>DataSiswa!B26</f>
        <v>9980830799</v>
      </c>
      <c r="E27" s="303" t="str">
        <f>DataSiswa!C26</f>
        <v>Muhammad Irfan</v>
      </c>
      <c r="F27" s="129" t="s">
        <v>296</v>
      </c>
      <c r="G27" s="60"/>
    </row>
    <row r="28" spans="2:7" ht="39.950000000000003" customHeight="1">
      <c r="B28" s="60"/>
      <c r="C28" s="304">
        <v>20</v>
      </c>
      <c r="D28" s="302" t="str">
        <f>DataSiswa!B27</f>
        <v>9981704177</v>
      </c>
      <c r="E28" s="303" t="str">
        <f>DataSiswa!C27</f>
        <v>Naura Cantika</v>
      </c>
      <c r="F28" s="129" t="s">
        <v>296</v>
      </c>
      <c r="G28" s="60"/>
    </row>
    <row r="29" spans="2:7" ht="39.950000000000003" customHeight="1">
      <c r="B29" s="60"/>
      <c r="C29" s="304">
        <v>21</v>
      </c>
      <c r="D29" s="302" t="str">
        <f>DataSiswa!B28</f>
        <v>9980810523</v>
      </c>
      <c r="E29" s="303" t="str">
        <f>DataSiswa!C28</f>
        <v>Nurul Putri Salsabila</v>
      </c>
      <c r="F29" s="129" t="s">
        <v>296</v>
      </c>
      <c r="G29" s="60"/>
    </row>
    <row r="30" spans="2:7" ht="39.950000000000003" customHeight="1">
      <c r="B30" s="60"/>
      <c r="C30" s="301">
        <v>22</v>
      </c>
      <c r="D30" s="302" t="str">
        <f>DataSiswa!B29</f>
        <v>9998982066</v>
      </c>
      <c r="E30" s="303" t="str">
        <f>DataSiswa!C29</f>
        <v>Rafi Fikriya Riza</v>
      </c>
      <c r="F30" s="129" t="s">
        <v>296</v>
      </c>
      <c r="G30" s="60"/>
    </row>
    <row r="31" spans="2:7" ht="39.950000000000003" customHeight="1">
      <c r="B31" s="60"/>
      <c r="C31" s="304">
        <v>23</v>
      </c>
      <c r="D31" s="302" t="str">
        <f>DataSiswa!B30</f>
        <v>9985967994</v>
      </c>
      <c r="E31" s="303" t="str">
        <f>DataSiswa!C30</f>
        <v>Restu Tria Bahri</v>
      </c>
      <c r="F31" s="129" t="s">
        <v>296</v>
      </c>
      <c r="G31" s="60"/>
    </row>
    <row r="32" spans="2:7" ht="39.950000000000003" customHeight="1">
      <c r="B32" s="60"/>
      <c r="C32" s="304">
        <v>24</v>
      </c>
      <c r="D32" s="302" t="str">
        <f>DataSiswa!B31</f>
        <v>9980799351</v>
      </c>
      <c r="E32" s="303" t="str">
        <f>DataSiswa!C31</f>
        <v>Rifka Esofita</v>
      </c>
      <c r="F32" s="129" t="s">
        <v>296</v>
      </c>
      <c r="G32" s="60"/>
    </row>
    <row r="33" spans="2:7" ht="39.950000000000003" customHeight="1">
      <c r="B33" s="60"/>
      <c r="C33" s="301">
        <v>25</v>
      </c>
      <c r="D33" s="302" t="str">
        <f>DataSiswa!B32</f>
        <v>9982095495</v>
      </c>
      <c r="E33" s="303" t="str">
        <f>DataSiswa!C32</f>
        <v>Rifo Ranofan</v>
      </c>
      <c r="F33" s="129" t="s">
        <v>296</v>
      </c>
      <c r="G33" s="60"/>
    </row>
    <row r="34" spans="2:7" ht="39.950000000000003" customHeight="1">
      <c r="B34" s="60"/>
      <c r="C34" s="304">
        <v>26</v>
      </c>
      <c r="D34" s="302" t="str">
        <f>DataSiswa!B33</f>
        <v>9985858026</v>
      </c>
      <c r="E34" s="303" t="str">
        <f>DataSiswa!C33</f>
        <v>Stephany Widyanti</v>
      </c>
      <c r="F34" s="129" t="s">
        <v>296</v>
      </c>
      <c r="G34" s="60"/>
    </row>
    <row r="35" spans="2:7" ht="39.950000000000003" customHeight="1">
      <c r="B35" s="60"/>
      <c r="C35" s="304">
        <v>27</v>
      </c>
      <c r="D35" s="302" t="str">
        <f>DataSiswa!B34</f>
        <v>9980818512</v>
      </c>
      <c r="E35" s="303" t="str">
        <f>DataSiswa!C34</f>
        <v>Tiara Yulianti</v>
      </c>
      <c r="F35" s="129" t="s">
        <v>296</v>
      </c>
      <c r="G35" s="60"/>
    </row>
    <row r="36" spans="2:7" ht="39.950000000000003" customHeight="1">
      <c r="B36" s="60"/>
      <c r="C36" s="301">
        <v>28</v>
      </c>
      <c r="D36" s="302" t="str">
        <f>DataSiswa!B35</f>
        <v>9982393794</v>
      </c>
      <c r="E36" s="303" t="str">
        <f>DataSiswa!C35</f>
        <v>Tika Wandira</v>
      </c>
      <c r="F36" s="129" t="s">
        <v>296</v>
      </c>
      <c r="G36" s="60"/>
    </row>
    <row r="37" spans="2:7" ht="39.950000000000003" customHeight="1">
      <c r="B37" s="60"/>
      <c r="C37" s="304">
        <v>29</v>
      </c>
      <c r="D37" s="302" t="str">
        <f>DataSiswa!B36</f>
        <v>9980818720</v>
      </c>
      <c r="E37" s="303" t="str">
        <f>DataSiswa!C36</f>
        <v>Ulfa Febriyani</v>
      </c>
      <c r="F37" s="129" t="s">
        <v>296</v>
      </c>
      <c r="G37" s="60"/>
    </row>
    <row r="38" spans="2:7" ht="39.950000000000003" customHeight="1">
      <c r="B38" s="60"/>
      <c r="C38" s="304">
        <v>30</v>
      </c>
      <c r="D38" s="302" t="str">
        <f>DataSiswa!B37</f>
        <v>9990756408</v>
      </c>
      <c r="E38" s="303" t="str">
        <f>DataSiswa!C37</f>
        <v>Valdy Filando Sardi</v>
      </c>
      <c r="F38" s="129" t="s">
        <v>296</v>
      </c>
      <c r="G38" s="60"/>
    </row>
    <row r="39" spans="2:7" ht="39.950000000000003" customHeight="1">
      <c r="B39" s="60"/>
      <c r="C39" s="301">
        <v>31</v>
      </c>
      <c r="D39" s="302" t="str">
        <f>DataSiswa!B38</f>
        <v>9980816670</v>
      </c>
      <c r="E39" s="303" t="str">
        <f>DataSiswa!C38</f>
        <v>Vonny Maitaveri</v>
      </c>
      <c r="F39" s="129" t="s">
        <v>296</v>
      </c>
      <c r="G39" s="60"/>
    </row>
    <row r="40" spans="2:7" ht="39.950000000000003" customHeight="1">
      <c r="B40" s="60"/>
      <c r="C40" s="304">
        <v>32</v>
      </c>
      <c r="D40" s="302" t="str">
        <f>DataSiswa!B39</f>
        <v>9982889268</v>
      </c>
      <c r="E40" s="303" t="str">
        <f>DataSiswa!C39</f>
        <v>Wahyu Yolanda</v>
      </c>
      <c r="F40" s="129" t="s">
        <v>296</v>
      </c>
      <c r="G40" s="60"/>
    </row>
    <row r="41" spans="2:7" ht="39.950000000000003" customHeight="1">
      <c r="B41" s="60"/>
      <c r="C41" s="304">
        <v>33</v>
      </c>
      <c r="D41" s="302">
        <f>DataSiswa!B40</f>
        <v>0</v>
      </c>
      <c r="E41" s="303">
        <f>DataSiswa!C40</f>
        <v>0</v>
      </c>
      <c r="F41" s="130"/>
      <c r="G41" s="60"/>
    </row>
    <row r="42" spans="2:7" ht="39.950000000000003" customHeight="1">
      <c r="B42" s="60"/>
      <c r="C42" s="301">
        <v>34</v>
      </c>
      <c r="D42" s="302">
        <f>DataSiswa!B41</f>
        <v>0</v>
      </c>
      <c r="E42" s="303">
        <f>DataSiswa!C41</f>
        <v>0</v>
      </c>
      <c r="F42" s="130"/>
      <c r="G42" s="60"/>
    </row>
    <row r="43" spans="2:7" ht="39.950000000000003" customHeight="1">
      <c r="B43" s="60"/>
      <c r="C43" s="304">
        <v>35</v>
      </c>
      <c r="D43" s="302">
        <f>DataSiswa!B42</f>
        <v>0</v>
      </c>
      <c r="E43" s="303">
        <f>DataSiswa!C42</f>
        <v>0</v>
      </c>
      <c r="F43" s="130"/>
      <c r="G43" s="60"/>
    </row>
    <row r="44" spans="2:7" ht="39.950000000000003" customHeight="1">
      <c r="B44" s="60"/>
      <c r="C44" s="304">
        <v>36</v>
      </c>
      <c r="D44" s="302">
        <f>DataSiswa!B43</f>
        <v>0</v>
      </c>
      <c r="E44" s="303">
        <f>DataSiswa!C43</f>
        <v>0</v>
      </c>
      <c r="F44" s="130"/>
      <c r="G44" s="60"/>
    </row>
    <row r="45" spans="2:7" ht="39.950000000000003" customHeight="1">
      <c r="B45" s="60"/>
      <c r="C45" s="301">
        <v>37</v>
      </c>
      <c r="D45" s="302">
        <f>DataSiswa!B44</f>
        <v>0</v>
      </c>
      <c r="E45" s="303">
        <f>DataSiswa!C44</f>
        <v>0</v>
      </c>
      <c r="F45" s="130"/>
      <c r="G45" s="60"/>
    </row>
    <row r="46" spans="2:7" ht="39.950000000000003" customHeight="1">
      <c r="B46" s="60"/>
      <c r="C46" s="304">
        <v>38</v>
      </c>
      <c r="D46" s="302">
        <f>DataSiswa!B45</f>
        <v>0</v>
      </c>
      <c r="E46" s="303">
        <f>DataSiswa!C45</f>
        <v>0</v>
      </c>
      <c r="F46" s="130"/>
      <c r="G46" s="60"/>
    </row>
    <row r="47" spans="2:7" ht="39.950000000000003" customHeight="1">
      <c r="B47" s="60"/>
      <c r="C47" s="304">
        <v>39</v>
      </c>
      <c r="D47" s="302">
        <f>DataSiswa!B46</f>
        <v>0</v>
      </c>
      <c r="E47" s="303">
        <f>DataSiswa!C46</f>
        <v>0</v>
      </c>
      <c r="F47" s="130"/>
      <c r="G47" s="60"/>
    </row>
    <row r="48" spans="2:7" ht="36.75" customHeight="1">
      <c r="B48" s="60"/>
      <c r="C48" s="301">
        <v>40</v>
      </c>
      <c r="D48" s="302">
        <f>DataSiswa!B47</f>
        <v>0</v>
      </c>
      <c r="E48" s="303">
        <f>DataSiswa!C47</f>
        <v>0</v>
      </c>
      <c r="F48" s="130"/>
      <c r="G48" s="60"/>
    </row>
    <row r="49" spans="2:7" ht="18.75" customHeight="1">
      <c r="B49" s="60"/>
      <c r="C49" s="60"/>
      <c r="D49" s="60"/>
      <c r="E49" s="60"/>
      <c r="F49" s="60"/>
      <c r="G49" s="60"/>
    </row>
  </sheetData>
  <mergeCells count="5">
    <mergeCell ref="C7:C8"/>
    <mergeCell ref="D7:D8"/>
    <mergeCell ref="E7:E8"/>
    <mergeCell ref="F7:F8"/>
    <mergeCell ref="I3:I4"/>
  </mergeCells>
  <hyperlinks>
    <hyperlink ref="I3:I4" location="UTAMA!A1" display="MENU"/>
  </hyperlinks>
  <pageMargins left="0.25" right="0.72" top="0.75" bottom="1.25" header="0.3" footer="0.3"/>
  <pageSetup paperSize="5"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B050"/>
  </sheetPr>
  <dimension ref="A1:J34"/>
  <sheetViews>
    <sheetView zoomScalePageLayoutView="90" workbookViewId="0">
      <selection activeCell="P4" sqref="P4"/>
    </sheetView>
  </sheetViews>
  <sheetFormatPr defaultRowHeight="15"/>
  <cols>
    <col min="1" max="1" width="11.7109375" customWidth="1"/>
    <col min="4" max="4" width="11.28515625" customWidth="1"/>
    <col min="5" max="5" width="1.5703125" customWidth="1"/>
    <col min="8" max="8" width="11.85546875" customWidth="1"/>
    <col min="9" max="9" width="31.85546875" customWidth="1"/>
  </cols>
  <sheetData>
    <row r="1" spans="1:10" ht="27">
      <c r="A1" s="578"/>
      <c r="B1" s="578"/>
      <c r="C1" s="578"/>
      <c r="D1" s="578"/>
      <c r="E1" s="578"/>
      <c r="F1" s="578"/>
      <c r="G1" s="578"/>
      <c r="H1" s="578"/>
      <c r="I1" s="578"/>
    </row>
    <row r="2" spans="1:10" ht="27">
      <c r="A2" s="579"/>
      <c r="B2" s="579"/>
      <c r="C2" s="579"/>
      <c r="D2" s="579"/>
      <c r="E2" s="579"/>
      <c r="F2" s="579"/>
      <c r="G2" s="579"/>
      <c r="H2" s="579"/>
      <c r="I2" s="579"/>
      <c r="J2" s="290" t="s">
        <v>307</v>
      </c>
    </row>
    <row r="3" spans="1:10" ht="27.75" thickBot="1">
      <c r="A3" s="579"/>
      <c r="B3" s="579"/>
      <c r="C3" s="579"/>
      <c r="D3" s="579"/>
      <c r="E3" s="579"/>
      <c r="F3" s="579"/>
      <c r="G3" s="579"/>
      <c r="H3" s="579"/>
      <c r="I3" s="579"/>
    </row>
    <row r="4" spans="1:10" ht="27.75" thickBot="1">
      <c r="A4" s="579"/>
      <c r="B4" s="579"/>
      <c r="C4" s="579"/>
      <c r="D4" s="579"/>
      <c r="E4" s="579"/>
      <c r="F4" s="579"/>
      <c r="G4" s="579"/>
      <c r="H4" s="579"/>
      <c r="I4" s="579"/>
      <c r="J4" s="293">
        <v>3</v>
      </c>
    </row>
    <row r="5" spans="1:10">
      <c r="A5" s="322"/>
      <c r="B5" s="322"/>
      <c r="C5" s="322"/>
      <c r="D5" s="322"/>
      <c r="E5" s="322"/>
      <c r="F5" s="322"/>
      <c r="G5" s="322"/>
      <c r="H5" s="322"/>
      <c r="I5" s="322"/>
    </row>
    <row r="6" spans="1:10">
      <c r="A6" s="322"/>
      <c r="B6" s="322"/>
      <c r="C6" s="322"/>
      <c r="D6" s="322"/>
      <c r="E6" s="322"/>
      <c r="F6" s="322"/>
      <c r="G6" s="322"/>
      <c r="H6" s="322"/>
      <c r="I6" s="322"/>
    </row>
    <row r="7" spans="1:10">
      <c r="A7" s="322"/>
      <c r="B7" s="322"/>
      <c r="C7" s="322"/>
      <c r="D7" s="322"/>
      <c r="E7" s="322"/>
      <c r="F7" s="322"/>
      <c r="G7" s="322"/>
      <c r="H7" s="322"/>
      <c r="I7" s="322"/>
    </row>
    <row r="8" spans="1:10">
      <c r="A8" s="322"/>
      <c r="B8" s="322"/>
      <c r="C8" s="322"/>
      <c r="D8" s="322"/>
      <c r="E8" s="322"/>
      <c r="F8" s="322"/>
      <c r="G8" s="322"/>
      <c r="H8" s="322"/>
      <c r="I8" s="322"/>
    </row>
    <row r="9" spans="1:10">
      <c r="A9" s="322"/>
      <c r="B9" s="322"/>
      <c r="C9" s="322"/>
      <c r="D9" s="322"/>
      <c r="E9" s="322"/>
      <c r="F9" s="322"/>
      <c r="G9" s="322"/>
      <c r="H9" s="322"/>
      <c r="I9" s="322"/>
    </row>
    <row r="10" spans="1:10" ht="39.950000000000003" customHeight="1">
      <c r="A10" s="577" t="s">
        <v>302</v>
      </c>
      <c r="B10" s="577"/>
      <c r="C10" s="577"/>
      <c r="D10" s="577"/>
      <c r="E10" s="577"/>
      <c r="F10" s="577"/>
      <c r="G10" s="577"/>
      <c r="H10" s="577"/>
      <c r="I10" s="577"/>
    </row>
    <row r="11" spans="1:10" ht="39.950000000000003" customHeight="1">
      <c r="A11" s="577" t="s">
        <v>350</v>
      </c>
      <c r="B11" s="577"/>
      <c r="C11" s="577"/>
      <c r="D11" s="577"/>
      <c r="E11" s="577"/>
      <c r="F11" s="577"/>
      <c r="G11" s="577"/>
      <c r="H11" s="577"/>
      <c r="I11" s="577"/>
    </row>
    <row r="12" spans="1:10" ht="39.950000000000003" customHeight="1">
      <c r="A12" s="577" t="s">
        <v>305</v>
      </c>
      <c r="B12" s="577"/>
      <c r="C12" s="577"/>
      <c r="D12" s="577"/>
      <c r="E12" s="577"/>
      <c r="F12" s="577"/>
      <c r="G12" s="577"/>
      <c r="H12" s="577"/>
      <c r="I12" s="577"/>
    </row>
    <row r="13" spans="1:10" ht="39.950000000000003" customHeight="1">
      <c r="A13" s="577" t="s">
        <v>306</v>
      </c>
      <c r="B13" s="577"/>
      <c r="C13" s="577"/>
      <c r="D13" s="577"/>
      <c r="E13" s="577"/>
      <c r="F13" s="577"/>
      <c r="G13" s="577"/>
      <c r="H13" s="577"/>
      <c r="I13" s="577"/>
    </row>
    <row r="14" spans="1:10" ht="33.75">
      <c r="A14" s="577"/>
      <c r="B14" s="577"/>
      <c r="C14" s="577"/>
      <c r="D14" s="577"/>
      <c r="E14" s="577"/>
      <c r="F14" s="577"/>
      <c r="G14" s="577"/>
      <c r="H14" s="577"/>
      <c r="I14" s="577"/>
    </row>
    <row r="15" spans="1:10" ht="33.75">
      <c r="A15" s="577"/>
      <c r="B15" s="577"/>
      <c r="C15" s="577"/>
      <c r="D15" s="577"/>
      <c r="E15" s="577"/>
      <c r="F15" s="577"/>
      <c r="G15" s="577"/>
      <c r="H15" s="577"/>
      <c r="I15" s="577"/>
    </row>
    <row r="16" spans="1:10" ht="33.75">
      <c r="A16" s="577"/>
      <c r="B16" s="577"/>
      <c r="C16" s="577"/>
      <c r="D16" s="577"/>
      <c r="E16" s="577"/>
      <c r="F16" s="577"/>
      <c r="G16" s="577"/>
      <c r="H16" s="577"/>
      <c r="I16" s="577"/>
    </row>
    <row r="17" spans="1:9" ht="28.5">
      <c r="A17" s="580" t="s">
        <v>303</v>
      </c>
      <c r="B17" s="580"/>
      <c r="C17" s="580"/>
      <c r="D17" s="580"/>
      <c r="E17" s="580"/>
      <c r="F17" s="580"/>
      <c r="G17" s="580"/>
      <c r="H17" s="580"/>
      <c r="I17" s="580"/>
    </row>
    <row r="18" spans="1:9" ht="33.75">
      <c r="A18" s="577" t="str">
        <f>VLOOKUP(J4,DataSiswa!$A$8:$C$47,3,TRUE)</f>
        <v>Anjellia Novia Safitri</v>
      </c>
      <c r="B18" s="577"/>
      <c r="C18" s="577"/>
      <c r="D18" s="577"/>
      <c r="E18" s="577"/>
      <c r="F18" s="577"/>
      <c r="G18" s="577"/>
      <c r="H18" s="577"/>
      <c r="I18" s="577"/>
    </row>
    <row r="19" spans="1:9" ht="18.75">
      <c r="A19" s="323"/>
      <c r="B19" s="323"/>
      <c r="C19" s="323"/>
      <c r="D19" s="323"/>
      <c r="E19" s="323"/>
      <c r="F19" s="323"/>
      <c r="G19" s="323"/>
      <c r="H19" s="323"/>
      <c r="I19" s="323"/>
    </row>
    <row r="20" spans="1:9" ht="19.5" customHeight="1">
      <c r="A20" s="582" t="str">
        <f>CONCATENATE("NIS/NISN   : ",K31)</f>
        <v xml:space="preserve">NIS/NISN   : </v>
      </c>
      <c r="B20" s="582"/>
      <c r="C20" s="582"/>
      <c r="D20" s="582"/>
      <c r="E20" s="582"/>
      <c r="F20" s="582"/>
      <c r="G20" s="582"/>
      <c r="H20" s="582"/>
      <c r="I20" s="582"/>
    </row>
    <row r="21" spans="1:9">
      <c r="A21" s="324"/>
      <c r="B21" s="324"/>
      <c r="C21" s="324"/>
      <c r="D21" s="324"/>
      <c r="E21" s="324"/>
      <c r="F21" s="324"/>
      <c r="G21" s="324"/>
      <c r="H21" s="324"/>
      <c r="I21" s="324"/>
    </row>
    <row r="22" spans="1:9" ht="31.5">
      <c r="A22" s="581" t="str">
        <f>VLOOKUP(J4,DataSiswa!$A$8:$C$47,2,TRUE)</f>
        <v>9983601594</v>
      </c>
      <c r="B22" s="581"/>
      <c r="C22" s="581"/>
      <c r="D22" s="581"/>
      <c r="E22" s="581"/>
      <c r="F22" s="581"/>
      <c r="G22" s="581"/>
      <c r="H22" s="581"/>
      <c r="I22" s="581"/>
    </row>
    <row r="23" spans="1:9">
      <c r="A23" s="324"/>
      <c r="B23" s="324"/>
      <c r="C23" s="324"/>
      <c r="D23" s="324"/>
      <c r="E23" s="324"/>
      <c r="F23" s="324"/>
      <c r="G23" s="324"/>
      <c r="H23" s="324"/>
      <c r="I23" s="324"/>
    </row>
    <row r="24" spans="1:9">
      <c r="A24" s="324"/>
      <c r="B24" s="324"/>
      <c r="C24" s="324"/>
      <c r="D24" s="324"/>
      <c r="E24" s="324"/>
      <c r="F24" s="324"/>
      <c r="G24" s="324"/>
      <c r="H24" s="324"/>
      <c r="I24" s="324"/>
    </row>
    <row r="25" spans="1:9" ht="31.5">
      <c r="A25" s="325"/>
      <c r="B25" s="325"/>
      <c r="C25" s="326"/>
      <c r="D25" s="326"/>
      <c r="E25" s="326"/>
      <c r="F25" s="326"/>
      <c r="G25" s="326"/>
      <c r="H25" s="326"/>
      <c r="I25" s="325"/>
    </row>
    <row r="26" spans="1:9">
      <c r="A26" s="324"/>
      <c r="B26" s="324"/>
      <c r="C26" s="324"/>
      <c r="D26" s="324"/>
      <c r="E26" s="324"/>
      <c r="F26" s="324"/>
      <c r="G26" s="324"/>
      <c r="H26" s="324"/>
      <c r="I26" s="324"/>
    </row>
    <row r="27" spans="1:9">
      <c r="A27" s="322"/>
      <c r="B27" s="322"/>
      <c r="C27" s="322"/>
      <c r="D27" s="322"/>
      <c r="E27" s="322"/>
      <c r="F27" s="322"/>
      <c r="G27" s="322"/>
      <c r="H27" s="322"/>
      <c r="I27" s="322"/>
    </row>
    <row r="28" spans="1:9">
      <c r="A28" s="327"/>
      <c r="B28" s="327"/>
      <c r="C28" s="327"/>
      <c r="D28" s="327"/>
      <c r="E28" s="327"/>
      <c r="F28" s="327"/>
      <c r="G28" s="327"/>
      <c r="H28" s="327"/>
      <c r="I28" s="327"/>
    </row>
    <row r="29" spans="1:9" ht="33.75">
      <c r="A29" s="584" t="s">
        <v>367</v>
      </c>
      <c r="B29" s="584"/>
      <c r="C29" s="584"/>
      <c r="D29" s="584"/>
      <c r="E29" s="584"/>
      <c r="F29" s="584"/>
      <c r="G29" s="584"/>
      <c r="H29" s="584"/>
      <c r="I29" s="584"/>
    </row>
    <row r="30" spans="1:9" ht="33.75">
      <c r="A30" s="583" t="s">
        <v>368</v>
      </c>
      <c r="B30" s="583"/>
      <c r="C30" s="583"/>
      <c r="D30" s="583"/>
      <c r="E30" s="583"/>
      <c r="F30" s="583"/>
      <c r="G30" s="583"/>
      <c r="H30" s="583"/>
      <c r="I30" s="583"/>
    </row>
    <row r="31" spans="1:9">
      <c r="A31" s="327"/>
      <c r="B31" s="327"/>
      <c r="C31" s="324"/>
      <c r="D31" s="324"/>
      <c r="E31" s="324"/>
      <c r="F31" s="324"/>
      <c r="G31" s="324"/>
      <c r="H31" s="327"/>
      <c r="I31" s="327"/>
    </row>
    <row r="32" spans="1:9">
      <c r="A32" s="324"/>
      <c r="B32" s="324"/>
      <c r="C32" s="324"/>
      <c r="D32" s="324"/>
      <c r="E32" s="324"/>
      <c r="F32" s="324"/>
      <c r="G32" s="324"/>
      <c r="H32" s="324"/>
      <c r="I32" s="324"/>
    </row>
    <row r="33" spans="1:9">
      <c r="A33" s="324"/>
      <c r="B33" s="324"/>
      <c r="C33" s="324"/>
      <c r="D33" s="324"/>
      <c r="E33" s="324"/>
      <c r="F33" s="324"/>
      <c r="G33" s="324"/>
      <c r="H33" s="324"/>
      <c r="I33" s="324"/>
    </row>
    <row r="34" spans="1:9" ht="18.75" customHeight="1">
      <c r="A34" s="327"/>
      <c r="B34" s="327"/>
      <c r="C34" s="327"/>
      <c r="D34" s="327"/>
      <c r="E34" s="327"/>
      <c r="F34" s="327"/>
      <c r="G34" s="327"/>
      <c r="H34" s="327"/>
      <c r="I34" s="327"/>
    </row>
  </sheetData>
  <mergeCells count="17">
    <mergeCell ref="A17:I17"/>
    <mergeCell ref="A18:I18"/>
    <mergeCell ref="A22:I22"/>
    <mergeCell ref="A20:I20"/>
    <mergeCell ref="A30:I30"/>
    <mergeCell ref="A29:I29"/>
    <mergeCell ref="A1:I1"/>
    <mergeCell ref="A2:I2"/>
    <mergeCell ref="A3:I3"/>
    <mergeCell ref="A4:I4"/>
    <mergeCell ref="A13:I13"/>
    <mergeCell ref="A10:I10"/>
    <mergeCell ref="A14:I14"/>
    <mergeCell ref="A15:I15"/>
    <mergeCell ref="A16:I16"/>
    <mergeCell ref="A11:I11"/>
    <mergeCell ref="A12:I12"/>
  </mergeCells>
  <hyperlinks>
    <hyperlink ref="J2" location="'RAP13'!A1" display="BACK"/>
  </hyperlinks>
  <printOptions horizontalCentered="1"/>
  <pageMargins left="0.261811024" right="0.73622047199999996" top="1.3011811019999999" bottom="0.70866141732283505" header="0.31496062992126" footer="0.31496062992126"/>
  <pageSetup paperSize="9" scale="86" orientation="portrait" horizontalDpi="4294967293" verticalDpi="4294967293" r:id="rId1"/>
  <drawing r:id="rId2"/>
  <legacyDrawing r:id="rId3"/>
  <oleObjects>
    <mc:AlternateContent xmlns:mc="http://schemas.openxmlformats.org/markup-compatibility/2006">
      <mc:Choice Requires="x14">
        <oleObject progId="PBrush" shapeId="23557" r:id="rId4">
          <objectPr defaultSize="0" autoPict="0" r:id="rId5">
            <anchor moveWithCells="1" sizeWithCells="1">
              <from>
                <xdr:col>5</xdr:col>
                <xdr:colOff>9525</xdr:colOff>
                <xdr:row>0</xdr:row>
                <xdr:rowOff>95250</xdr:rowOff>
              </from>
              <to>
                <xdr:col>7</xdr:col>
                <xdr:colOff>95250</xdr:colOff>
                <xdr:row>5</xdr:row>
                <xdr:rowOff>95250</xdr:rowOff>
              </to>
            </anchor>
          </objectPr>
        </oleObject>
      </mc:Choice>
      <mc:Fallback>
        <oleObject progId="PBrush" shapeId="23557" r:id="rId4"/>
      </mc:Fallback>
    </mc:AlternateContent>
  </oleObjects>
  <mc:AlternateContent xmlns:mc="http://schemas.openxmlformats.org/markup-compatibility/2006">
    <mc:Choice Requires="x14">
      <controls>
        <mc:AlternateContent xmlns:mc="http://schemas.openxmlformats.org/markup-compatibility/2006">
          <mc:Choice Requires="x14">
            <control shapeId="23553" r:id="rId6" name="Spinner 1">
              <controlPr defaultSize="0" autoPict="0">
                <anchor moveWithCells="1" sizeWithCells="1">
                  <from>
                    <xdr:col>9</xdr:col>
                    <xdr:colOff>0</xdr:colOff>
                    <xdr:row>4</xdr:row>
                    <xdr:rowOff>9525</xdr:rowOff>
                  </from>
                  <to>
                    <xdr:col>9</xdr:col>
                    <xdr:colOff>600075</xdr:colOff>
                    <xdr:row>6</xdr:row>
                    <xdr:rowOff>9525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2:J33"/>
  <sheetViews>
    <sheetView topLeftCell="A22" workbookViewId="0">
      <selection activeCell="E38" sqref="E38"/>
    </sheetView>
  </sheetViews>
  <sheetFormatPr defaultRowHeight="15.75"/>
  <cols>
    <col min="1" max="1" width="5.7109375" style="305" customWidth="1"/>
    <col min="2" max="2" width="9.140625" style="305"/>
    <col min="3" max="3" width="7.28515625" style="305" bestFit="1" customWidth="1"/>
    <col min="4" max="4" width="13.28515625" style="305" bestFit="1" customWidth="1"/>
    <col min="5" max="5" width="11.5703125" style="305" bestFit="1" customWidth="1"/>
    <col min="6" max="6" width="6.140625" style="305" bestFit="1" customWidth="1"/>
    <col min="7" max="7" width="11.28515625" style="305" bestFit="1" customWidth="1"/>
    <col min="8" max="8" width="6.140625" style="305" bestFit="1" customWidth="1"/>
    <col min="9" max="16384" width="9.140625" style="305"/>
  </cols>
  <sheetData>
    <row r="2" spans="1:10">
      <c r="A2" s="591" t="s">
        <v>316</v>
      </c>
      <c r="B2" s="591"/>
      <c r="C2" s="591"/>
      <c r="D2" s="591"/>
      <c r="E2" s="591"/>
      <c r="F2" s="591"/>
      <c r="G2" s="591"/>
      <c r="H2" s="591"/>
      <c r="I2" s="591"/>
      <c r="J2" s="591"/>
    </row>
    <row r="4" spans="1:10">
      <c r="A4" s="307" t="s">
        <v>317</v>
      </c>
      <c r="B4" s="592" t="s">
        <v>319</v>
      </c>
      <c r="C4" s="592"/>
      <c r="D4" s="592"/>
      <c r="E4" s="592"/>
      <c r="F4" s="592"/>
      <c r="G4" s="592"/>
      <c r="H4" s="592"/>
      <c r="I4" s="592"/>
      <c r="J4" s="592"/>
    </row>
    <row r="5" spans="1:10">
      <c r="B5" s="592"/>
      <c r="C5" s="592"/>
      <c r="D5" s="592"/>
      <c r="E5" s="592"/>
      <c r="F5" s="592"/>
      <c r="G5" s="592"/>
      <c r="H5" s="592"/>
      <c r="I5" s="592"/>
      <c r="J5" s="592"/>
    </row>
    <row r="6" spans="1:10">
      <c r="B6" s="592"/>
      <c r="C6" s="592"/>
      <c r="D6" s="592"/>
      <c r="E6" s="592"/>
      <c r="F6" s="592"/>
      <c r="G6" s="592"/>
      <c r="H6" s="592"/>
      <c r="I6" s="592"/>
      <c r="J6" s="592"/>
    </row>
    <row r="7" spans="1:10">
      <c r="A7" s="306" t="s">
        <v>318</v>
      </c>
      <c r="B7" s="592" t="s">
        <v>320</v>
      </c>
      <c r="C7" s="592"/>
      <c r="D7" s="592"/>
      <c r="E7" s="592"/>
      <c r="F7" s="592"/>
      <c r="G7" s="592"/>
      <c r="H7" s="592"/>
      <c r="I7" s="592"/>
      <c r="J7" s="592"/>
    </row>
    <row r="8" spans="1:10">
      <c r="B8" s="592"/>
      <c r="C8" s="592"/>
      <c r="D8" s="592"/>
      <c r="E8" s="592"/>
      <c r="F8" s="592"/>
      <c r="G8" s="592"/>
      <c r="H8" s="592"/>
      <c r="I8" s="592"/>
      <c r="J8" s="592"/>
    </row>
    <row r="9" spans="1:10">
      <c r="B9" s="592"/>
      <c r="C9" s="592"/>
      <c r="D9" s="592"/>
      <c r="E9" s="592"/>
      <c r="F9" s="592"/>
      <c r="G9" s="592"/>
      <c r="H9" s="592"/>
      <c r="I9" s="592"/>
      <c r="J9" s="592"/>
    </row>
    <row r="10" spans="1:10" ht="15.75" customHeight="1">
      <c r="A10" s="306" t="s">
        <v>321</v>
      </c>
      <c r="B10" s="592" t="s">
        <v>322</v>
      </c>
      <c r="C10" s="592"/>
      <c r="D10" s="592"/>
      <c r="E10" s="592"/>
      <c r="F10" s="592"/>
      <c r="G10" s="592"/>
      <c r="H10" s="592"/>
      <c r="I10" s="592"/>
      <c r="J10" s="592"/>
    </row>
    <row r="11" spans="1:10">
      <c r="B11" s="592"/>
      <c r="C11" s="592"/>
      <c r="D11" s="592"/>
      <c r="E11" s="592"/>
      <c r="F11" s="592"/>
      <c r="G11" s="592"/>
      <c r="H11" s="592"/>
      <c r="I11" s="592"/>
      <c r="J11" s="592"/>
    </row>
    <row r="12" spans="1:10">
      <c r="B12" s="592"/>
      <c r="C12" s="592"/>
      <c r="D12" s="592"/>
      <c r="E12" s="592"/>
      <c r="F12" s="592"/>
      <c r="G12" s="592"/>
      <c r="H12" s="592"/>
      <c r="I12" s="592"/>
      <c r="J12" s="592"/>
    </row>
    <row r="13" spans="1:10">
      <c r="B13" s="592"/>
      <c r="C13" s="592"/>
      <c r="D13" s="592"/>
      <c r="E13" s="592"/>
      <c r="F13" s="592"/>
      <c r="G13" s="592"/>
      <c r="H13" s="592"/>
      <c r="I13" s="592"/>
      <c r="J13" s="592"/>
    </row>
    <row r="14" spans="1:10">
      <c r="B14" s="308"/>
      <c r="C14" s="308"/>
      <c r="D14" s="308"/>
      <c r="E14" s="308"/>
      <c r="F14" s="308"/>
      <c r="G14" s="308"/>
      <c r="H14" s="308"/>
      <c r="I14" s="308"/>
      <c r="J14" s="308"/>
    </row>
    <row r="15" spans="1:10">
      <c r="A15" s="306" t="s">
        <v>323</v>
      </c>
      <c r="B15" s="592" t="s">
        <v>324</v>
      </c>
      <c r="C15" s="593"/>
      <c r="D15" s="593"/>
      <c r="E15" s="593"/>
      <c r="F15" s="593"/>
      <c r="G15" s="593"/>
      <c r="H15" s="593"/>
      <c r="I15" s="593"/>
      <c r="J15" s="593"/>
    </row>
    <row r="16" spans="1:10">
      <c r="B16" s="593"/>
      <c r="C16" s="593"/>
      <c r="D16" s="593"/>
      <c r="E16" s="593"/>
      <c r="F16" s="593"/>
      <c r="G16" s="593"/>
      <c r="H16" s="593"/>
      <c r="I16" s="593"/>
      <c r="J16" s="593"/>
    </row>
    <row r="17" spans="1:10">
      <c r="B17" s="593"/>
      <c r="C17" s="593"/>
      <c r="D17" s="593"/>
      <c r="E17" s="593"/>
      <c r="F17" s="593"/>
      <c r="G17" s="593"/>
      <c r="H17" s="593"/>
      <c r="I17" s="593"/>
      <c r="J17" s="593"/>
    </row>
    <row r="19" spans="1:10">
      <c r="A19" s="587" t="s">
        <v>329</v>
      </c>
      <c r="B19" s="587"/>
      <c r="C19" s="587"/>
      <c r="D19" s="587"/>
      <c r="E19" s="587"/>
      <c r="F19" s="587"/>
      <c r="G19" s="587"/>
      <c r="H19" s="587"/>
      <c r="I19" s="587"/>
      <c r="J19" s="587"/>
    </row>
    <row r="22" spans="1:10">
      <c r="C22" s="588" t="s">
        <v>40</v>
      </c>
      <c r="D22" s="589"/>
      <c r="E22" s="588" t="s">
        <v>39</v>
      </c>
      <c r="F22" s="589"/>
      <c r="G22" s="588" t="s">
        <v>207</v>
      </c>
      <c r="H22" s="589"/>
    </row>
    <row r="23" spans="1:10" ht="31.5" customHeight="1">
      <c r="C23" s="309" t="s">
        <v>330</v>
      </c>
      <c r="D23" s="309" t="s">
        <v>42</v>
      </c>
      <c r="E23" s="309" t="s">
        <v>331</v>
      </c>
      <c r="F23" s="309" t="s">
        <v>332</v>
      </c>
      <c r="G23" s="313" t="s">
        <v>333</v>
      </c>
      <c r="H23" s="309" t="s">
        <v>332</v>
      </c>
    </row>
    <row r="24" spans="1:10">
      <c r="C24" s="585">
        <v>4</v>
      </c>
      <c r="D24" s="310" t="s">
        <v>334</v>
      </c>
      <c r="E24" s="309" t="s">
        <v>335</v>
      </c>
      <c r="F24" s="309" t="s">
        <v>23</v>
      </c>
      <c r="G24" s="309" t="s">
        <v>335</v>
      </c>
      <c r="H24" s="309" t="s">
        <v>23</v>
      </c>
    </row>
    <row r="25" spans="1:10">
      <c r="C25" s="586"/>
      <c r="D25" s="311" t="s">
        <v>325</v>
      </c>
      <c r="E25" s="309" t="s">
        <v>336</v>
      </c>
      <c r="F25" s="309" t="s">
        <v>269</v>
      </c>
      <c r="G25" s="309" t="s">
        <v>336</v>
      </c>
      <c r="H25" s="309" t="s">
        <v>269</v>
      </c>
    </row>
    <row r="26" spans="1:10">
      <c r="C26" s="585">
        <v>3</v>
      </c>
      <c r="D26" s="310" t="s">
        <v>24</v>
      </c>
      <c r="E26" s="309" t="s">
        <v>337</v>
      </c>
      <c r="F26" s="309" t="s">
        <v>268</v>
      </c>
      <c r="G26" s="309" t="s">
        <v>337</v>
      </c>
      <c r="H26" s="309" t="s">
        <v>268</v>
      </c>
    </row>
    <row r="27" spans="1:10">
      <c r="C27" s="590"/>
      <c r="D27" s="312" t="s">
        <v>326</v>
      </c>
      <c r="E27" s="309" t="s">
        <v>338</v>
      </c>
      <c r="F27" s="309" t="s">
        <v>24</v>
      </c>
      <c r="G27" s="309" t="s">
        <v>338</v>
      </c>
      <c r="H27" s="309" t="s">
        <v>24</v>
      </c>
    </row>
    <row r="28" spans="1:10">
      <c r="C28" s="586"/>
      <c r="D28" s="311"/>
      <c r="E28" s="309" t="s">
        <v>339</v>
      </c>
      <c r="F28" s="309" t="s">
        <v>267</v>
      </c>
      <c r="G28" s="309" t="s">
        <v>339</v>
      </c>
      <c r="H28" s="309" t="s">
        <v>267</v>
      </c>
    </row>
    <row r="29" spans="1:10">
      <c r="C29" s="585">
        <v>2</v>
      </c>
      <c r="D29" s="310" t="s">
        <v>265</v>
      </c>
      <c r="E29" s="309" t="s">
        <v>340</v>
      </c>
      <c r="F29" s="309" t="s">
        <v>266</v>
      </c>
      <c r="G29" s="309" t="s">
        <v>340</v>
      </c>
      <c r="H29" s="309" t="s">
        <v>266</v>
      </c>
    </row>
    <row r="30" spans="1:10">
      <c r="C30" s="590"/>
      <c r="D30" s="312" t="s">
        <v>327</v>
      </c>
      <c r="E30" s="309" t="s">
        <v>341</v>
      </c>
      <c r="F30" s="309" t="s">
        <v>265</v>
      </c>
      <c r="G30" s="309" t="s">
        <v>341</v>
      </c>
      <c r="H30" s="309" t="s">
        <v>265</v>
      </c>
    </row>
    <row r="31" spans="1:10">
      <c r="C31" s="586"/>
      <c r="D31" s="311"/>
      <c r="E31" s="309" t="s">
        <v>342</v>
      </c>
      <c r="F31" s="309" t="s">
        <v>264</v>
      </c>
      <c r="G31" s="309" t="s">
        <v>342</v>
      </c>
      <c r="H31" s="309" t="s">
        <v>264</v>
      </c>
    </row>
    <row r="32" spans="1:10">
      <c r="C32" s="585">
        <v>1</v>
      </c>
      <c r="D32" s="310" t="s">
        <v>345</v>
      </c>
      <c r="E32" s="309" t="s">
        <v>343</v>
      </c>
      <c r="F32" s="309" t="s">
        <v>263</v>
      </c>
      <c r="G32" s="309" t="s">
        <v>343</v>
      </c>
      <c r="H32" s="309" t="s">
        <v>263</v>
      </c>
    </row>
    <row r="33" spans="3:8">
      <c r="C33" s="586"/>
      <c r="D33" s="311" t="s">
        <v>328</v>
      </c>
      <c r="E33" s="309" t="s">
        <v>344</v>
      </c>
      <c r="F33" s="309" t="s">
        <v>262</v>
      </c>
      <c r="G33" s="309" t="s">
        <v>344</v>
      </c>
      <c r="H33" s="309" t="s">
        <v>262</v>
      </c>
    </row>
  </sheetData>
  <mergeCells count="13">
    <mergeCell ref="A2:J2"/>
    <mergeCell ref="B4:J6"/>
    <mergeCell ref="B7:J9"/>
    <mergeCell ref="B10:J13"/>
    <mergeCell ref="B15:J17"/>
    <mergeCell ref="C32:C33"/>
    <mergeCell ref="A19:J19"/>
    <mergeCell ref="C22:D22"/>
    <mergeCell ref="E22:F22"/>
    <mergeCell ref="G22:H22"/>
    <mergeCell ref="C24:C25"/>
    <mergeCell ref="C26:C28"/>
    <mergeCell ref="C29:C31"/>
  </mergeCells>
  <pageMargins left="0.51181102362204722" right="0.23622047244094488" top="0.55118110236220474" bottom="0.70866141732283461" header="0.31496062992125984" footer="0.31496062992125984"/>
  <pageSetup paperSize="9" orientation="portrait" horizontalDpi="0" verticalDpi="0" r:id="rId1"/>
  <headerFooter>
    <oddFooter>&amp;C&amp;P</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00B050"/>
    <pageSetUpPr fitToPage="1"/>
  </sheetPr>
  <dimension ref="A1:M390"/>
  <sheetViews>
    <sheetView showGridLines="0" showRowColHeaders="0" topLeftCell="A13" workbookViewId="0">
      <selection activeCell="H13" sqref="H13:J13"/>
    </sheetView>
  </sheetViews>
  <sheetFormatPr defaultColWidth="0" defaultRowHeight="0" customHeight="1" zeroHeight="1"/>
  <cols>
    <col min="1" max="1" width="3.85546875" style="328" customWidth="1"/>
    <col min="2" max="2" width="2.28515625" style="328" customWidth="1"/>
    <col min="3" max="3" width="2.7109375" style="328" customWidth="1"/>
    <col min="4" max="4" width="6.85546875" style="328" customWidth="1"/>
    <col min="5" max="5" width="10" style="328" customWidth="1"/>
    <col min="6" max="6" width="7.42578125" style="328" customWidth="1"/>
    <col min="7" max="7" width="3.42578125" style="328" customWidth="1"/>
    <col min="8" max="8" width="14" style="328" customWidth="1"/>
    <col min="9" max="9" width="9.140625" style="328" customWidth="1"/>
    <col min="10" max="10" width="10.28515625" style="328" customWidth="1"/>
    <col min="11" max="11" width="13.5703125" style="328" customWidth="1"/>
    <col min="12" max="12" width="10.28515625" style="328" customWidth="1"/>
    <col min="13" max="13" width="10.28515625" style="15" customWidth="1"/>
    <col min="14" max="16384" width="0" style="15" hidden="1"/>
  </cols>
  <sheetData>
    <row r="1" spans="1:13" ht="0" hidden="1" customHeight="1">
      <c r="A1" s="15"/>
      <c r="B1" s="15"/>
      <c r="C1" s="15"/>
      <c r="D1" s="15"/>
      <c r="E1" s="15"/>
      <c r="F1" s="15"/>
      <c r="G1" s="15"/>
      <c r="H1" s="15"/>
      <c r="I1" s="15"/>
      <c r="J1" s="15"/>
      <c r="K1" s="15"/>
      <c r="L1" s="15"/>
    </row>
    <row r="2" spans="1:13" ht="21.95" customHeight="1">
      <c r="A2" s="594" t="s">
        <v>252</v>
      </c>
      <c r="B2" s="594"/>
      <c r="C2" s="594"/>
      <c r="D2" s="594"/>
      <c r="E2" s="594"/>
      <c r="F2" s="594"/>
      <c r="G2" s="594"/>
      <c r="H2" s="594"/>
      <c r="I2" s="594"/>
      <c r="J2" s="594"/>
      <c r="K2" s="594"/>
      <c r="L2" s="594"/>
    </row>
    <row r="3" spans="1:13" ht="21.95" customHeight="1"/>
    <row r="4" spans="1:13" ht="21.95" customHeight="1" thickBot="1"/>
    <row r="5" spans="1:13" ht="21.95" customHeight="1" thickBot="1">
      <c r="A5" s="329">
        <v>1</v>
      </c>
      <c r="B5" s="329" t="s">
        <v>163</v>
      </c>
      <c r="C5" s="329" t="s">
        <v>21</v>
      </c>
      <c r="D5" s="329"/>
      <c r="E5" s="329"/>
      <c r="F5" s="329"/>
      <c r="G5" s="330" t="s">
        <v>35</v>
      </c>
      <c r="H5" s="595" t="str">
        <f>VLOOKUP($M$5,DataSiswa!$A$8:$R$45,3,FALSE)</f>
        <v>Angger Ghufron Pangestu</v>
      </c>
      <c r="I5" s="595"/>
      <c r="J5" s="595"/>
      <c r="K5" s="595"/>
      <c r="L5" s="329"/>
      <c r="M5" s="294">
        <v>2</v>
      </c>
    </row>
    <row r="6" spans="1:13" ht="21.95" customHeight="1">
      <c r="A6" s="329">
        <v>2</v>
      </c>
      <c r="B6" s="329" t="s">
        <v>163</v>
      </c>
      <c r="C6" s="329" t="s">
        <v>164</v>
      </c>
      <c r="D6" s="329"/>
      <c r="E6" s="329"/>
      <c r="F6" s="329"/>
      <c r="G6" s="330" t="s">
        <v>35</v>
      </c>
      <c r="H6" s="596" t="str">
        <f>VLOOKUP($M$5,DataSiswa!$A$8:$R$47,2,FALSE)</f>
        <v>9982907972</v>
      </c>
      <c r="I6" s="596"/>
      <c r="J6" s="329"/>
      <c r="K6" s="329"/>
      <c r="L6" s="329"/>
    </row>
    <row r="7" spans="1:13" ht="21.95" customHeight="1">
      <c r="A7" s="329">
        <v>3</v>
      </c>
      <c r="B7" s="329" t="s">
        <v>163</v>
      </c>
      <c r="C7" s="329" t="s">
        <v>165</v>
      </c>
      <c r="D7" s="329"/>
      <c r="E7" s="329"/>
      <c r="F7" s="329"/>
      <c r="G7" s="330" t="s">
        <v>35</v>
      </c>
      <c r="H7" s="331" t="str">
        <f>VLOOKUP($M$5,DataSiswa!$A$8:$R$47,5,FALSE)</f>
        <v xml:space="preserve">Padang </v>
      </c>
      <c r="I7" s="331" t="str">
        <f>VLOOKUP($M$5,DataSiswa!$A$8:$R$47,6,FALSE)</f>
        <v xml:space="preserve"> 29 Agustus 1998</v>
      </c>
      <c r="J7" s="329"/>
      <c r="K7" s="329"/>
      <c r="L7" s="329"/>
    </row>
    <row r="8" spans="1:13" ht="21.95" customHeight="1">
      <c r="A8" s="329">
        <v>4</v>
      </c>
      <c r="B8" s="329" t="s">
        <v>163</v>
      </c>
      <c r="C8" s="329" t="s">
        <v>166</v>
      </c>
      <c r="D8" s="329"/>
      <c r="E8" s="329"/>
      <c r="F8" s="329"/>
      <c r="G8" s="330" t="s">
        <v>35</v>
      </c>
      <c r="H8" s="331" t="str">
        <f>VLOOKUP($M$5,DataSiswa!$A$8:$R$47,4,FALSE)</f>
        <v>Laki-laki</v>
      </c>
      <c r="I8" s="329"/>
      <c r="J8" s="329"/>
      <c r="K8" s="329"/>
      <c r="L8" s="329"/>
    </row>
    <row r="9" spans="1:13" ht="21.95" customHeight="1">
      <c r="A9" s="329">
        <v>5</v>
      </c>
      <c r="B9" s="329" t="s">
        <v>163</v>
      </c>
      <c r="C9" s="329" t="s">
        <v>167</v>
      </c>
      <c r="D9" s="329"/>
      <c r="E9" s="329"/>
      <c r="F9" s="329"/>
      <c r="G9" s="330" t="s">
        <v>35</v>
      </c>
      <c r="H9" s="331" t="str">
        <f>VLOOKUP($M$5,DataSiswa!$A$8:$R$47,7,FALSE)</f>
        <v>Islam</v>
      </c>
      <c r="I9" s="329"/>
      <c r="J9" s="329"/>
      <c r="K9" s="329"/>
      <c r="L9" s="329"/>
    </row>
    <row r="10" spans="1:13" ht="21.95" customHeight="1">
      <c r="A10" s="329">
        <v>6</v>
      </c>
      <c r="B10" s="329" t="s">
        <v>163</v>
      </c>
      <c r="C10" s="329" t="s">
        <v>168</v>
      </c>
      <c r="D10" s="329"/>
      <c r="E10" s="329"/>
      <c r="F10" s="329"/>
      <c r="G10" s="330" t="s">
        <v>35</v>
      </c>
      <c r="H10" s="331" t="str">
        <f>VLOOKUP($M$5,DataSiswa!$A$8:$R$47,8,FALSE)</f>
        <v>Anak Kandung</v>
      </c>
      <c r="I10" s="329"/>
      <c r="J10" s="329"/>
      <c r="K10" s="329"/>
      <c r="L10" s="329"/>
    </row>
    <row r="11" spans="1:13" ht="21.95" customHeight="1">
      <c r="A11" s="329">
        <v>7</v>
      </c>
      <c r="B11" s="329" t="s">
        <v>163</v>
      </c>
      <c r="C11" s="329" t="s">
        <v>290</v>
      </c>
      <c r="D11" s="329"/>
      <c r="E11" s="329"/>
      <c r="F11" s="329"/>
      <c r="G11" s="330" t="s">
        <v>35</v>
      </c>
      <c r="H11" s="332">
        <f>VLOOKUP($M$5,DataSiswa!$A$8:$R$47,9,FALSE)</f>
        <v>1</v>
      </c>
      <c r="I11" s="329"/>
      <c r="J11" s="329"/>
      <c r="K11" s="329"/>
      <c r="L11" s="329"/>
    </row>
    <row r="12" spans="1:13" ht="21.95" customHeight="1">
      <c r="A12" s="329">
        <v>8</v>
      </c>
      <c r="B12" s="329" t="s">
        <v>163</v>
      </c>
      <c r="C12" s="329" t="s">
        <v>170</v>
      </c>
      <c r="D12" s="329"/>
      <c r="E12" s="329"/>
      <c r="F12" s="329"/>
      <c r="G12" s="330" t="s">
        <v>35</v>
      </c>
      <c r="H12" s="331" t="str">
        <f>VLOOKUP($M$5,DataSiswa!$A$8:$R$47,10,FALSE)</f>
        <v>KOMP. Wisma Utama B/2 Pulau Aia</v>
      </c>
      <c r="I12" s="329"/>
      <c r="J12" s="329"/>
      <c r="K12" s="329"/>
      <c r="L12" s="329"/>
    </row>
    <row r="13" spans="1:13" ht="21.95" customHeight="1">
      <c r="A13" s="329"/>
      <c r="B13" s="329"/>
      <c r="C13" s="329" t="s">
        <v>171</v>
      </c>
      <c r="D13" s="329"/>
      <c r="E13" s="329"/>
      <c r="F13" s="329"/>
      <c r="G13" s="330" t="s">
        <v>35</v>
      </c>
      <c r="H13" s="596"/>
      <c r="I13" s="596"/>
      <c r="J13" s="596"/>
      <c r="K13" s="329"/>
      <c r="L13" s="329"/>
    </row>
    <row r="14" spans="1:13" ht="21.95" customHeight="1">
      <c r="A14" s="329">
        <v>9</v>
      </c>
      <c r="B14" s="329" t="s">
        <v>163</v>
      </c>
      <c r="C14" s="329" t="s">
        <v>172</v>
      </c>
      <c r="D14" s="329"/>
      <c r="E14" s="329"/>
      <c r="F14" s="329"/>
      <c r="G14" s="330" t="s">
        <v>35</v>
      </c>
      <c r="H14" s="331" t="str">
        <f>VLOOKUP($M$5,DataSiswa!$A$8:$R$47,11,FALSE)</f>
        <v>SMPN 5 Padang</v>
      </c>
      <c r="I14" s="329"/>
      <c r="J14" s="329"/>
      <c r="K14" s="329"/>
      <c r="L14" s="329"/>
    </row>
    <row r="15" spans="1:13" ht="21.95" customHeight="1">
      <c r="A15" s="329">
        <v>10</v>
      </c>
      <c r="B15" s="329" t="s">
        <v>163</v>
      </c>
      <c r="C15" s="329" t="s">
        <v>173</v>
      </c>
      <c r="D15" s="329"/>
      <c r="E15" s="329"/>
      <c r="F15" s="329"/>
      <c r="G15" s="330" t="s">
        <v>174</v>
      </c>
      <c r="H15" s="329"/>
      <c r="I15" s="329"/>
      <c r="J15" s="329"/>
      <c r="K15" s="329"/>
      <c r="L15" s="329"/>
    </row>
    <row r="16" spans="1:13" ht="21.95" customHeight="1">
      <c r="A16" s="329"/>
      <c r="B16" s="329"/>
      <c r="C16" s="329" t="s">
        <v>175</v>
      </c>
      <c r="D16" s="329"/>
      <c r="E16" s="329"/>
      <c r="F16" s="329"/>
      <c r="G16" s="330" t="s">
        <v>35</v>
      </c>
      <c r="H16" s="333" t="str">
        <f>VLOOKUP($M$5,DataSiswa!$A$8:$R$47,12,FALSE)</f>
        <v>X MIA 2</v>
      </c>
      <c r="I16" s="329"/>
      <c r="J16" s="329"/>
      <c r="K16" s="329"/>
      <c r="L16" s="329"/>
    </row>
    <row r="17" spans="1:12" ht="21.95" customHeight="1">
      <c r="A17" s="329"/>
      <c r="B17" s="329"/>
      <c r="C17" s="329" t="s">
        <v>176</v>
      </c>
      <c r="D17" s="329"/>
      <c r="E17" s="329"/>
      <c r="F17" s="329"/>
      <c r="G17" s="330" t="s">
        <v>35</v>
      </c>
      <c r="H17" s="331" t="str">
        <f>VLOOKUP($M$5,DataSiswa!$A$8:$R$47,13,FALSE)</f>
        <v>13 Juli 2013</v>
      </c>
      <c r="I17" s="329"/>
      <c r="J17" s="329"/>
      <c r="K17" s="329"/>
      <c r="L17" s="329"/>
    </row>
    <row r="18" spans="1:12" ht="21.95" customHeight="1">
      <c r="A18" s="329">
        <v>11</v>
      </c>
      <c r="B18" s="329" t="s">
        <v>163</v>
      </c>
      <c r="C18" s="329" t="s">
        <v>177</v>
      </c>
      <c r="D18" s="329"/>
      <c r="E18" s="329"/>
      <c r="F18" s="329"/>
      <c r="G18" s="330" t="s">
        <v>35</v>
      </c>
      <c r="H18" s="329"/>
      <c r="I18" s="329"/>
      <c r="J18" s="329"/>
      <c r="K18" s="329"/>
      <c r="L18" s="329"/>
    </row>
    <row r="19" spans="1:12" ht="21.95" customHeight="1">
      <c r="A19" s="329"/>
      <c r="B19" s="329"/>
      <c r="C19" s="329" t="s">
        <v>178</v>
      </c>
      <c r="D19" s="329" t="s">
        <v>179</v>
      </c>
      <c r="E19" s="329"/>
      <c r="F19" s="329"/>
      <c r="G19" s="330"/>
      <c r="H19" s="331" t="str">
        <f>VLOOKUP($M$5,DataSiswa!$A$8:$R$47,14,FALSE)</f>
        <v>Priyatmoko</v>
      </c>
      <c r="I19" s="329"/>
      <c r="J19" s="329"/>
      <c r="K19" s="329"/>
      <c r="L19" s="329"/>
    </row>
    <row r="20" spans="1:12" ht="21.95" customHeight="1">
      <c r="A20" s="329"/>
      <c r="B20" s="329"/>
      <c r="C20" s="329" t="s">
        <v>180</v>
      </c>
      <c r="D20" s="329" t="s">
        <v>181</v>
      </c>
      <c r="E20" s="329"/>
      <c r="F20" s="329"/>
      <c r="G20" s="330" t="s">
        <v>35</v>
      </c>
      <c r="H20" s="331" t="str">
        <f>VLOOKUP($M$5,DataSiswa!$A$8:$R$47,15,FALSE)</f>
        <v>Febriyani Yasin</v>
      </c>
      <c r="I20" s="329"/>
      <c r="J20" s="329"/>
      <c r="K20" s="329"/>
      <c r="L20" s="329"/>
    </row>
    <row r="21" spans="1:12" ht="21.95" customHeight="1">
      <c r="A21" s="329">
        <v>12</v>
      </c>
      <c r="B21" s="329" t="s">
        <v>163</v>
      </c>
      <c r="C21" s="329" t="s">
        <v>182</v>
      </c>
      <c r="D21" s="329"/>
      <c r="E21" s="329"/>
      <c r="F21" s="329"/>
      <c r="G21" s="330" t="s">
        <v>35</v>
      </c>
      <c r="H21" s="331" t="str">
        <f>VLOOKUP($M$5,DataSiswa!$A$8:$R$47,16,FALSE)</f>
        <v>KOMP. Wisma Utama B/2 Pulau Aia</v>
      </c>
      <c r="I21" s="329"/>
      <c r="J21" s="329"/>
      <c r="K21" s="329"/>
      <c r="L21" s="329"/>
    </row>
    <row r="22" spans="1:12" ht="21.95" customHeight="1">
      <c r="A22" s="329"/>
      <c r="B22" s="329"/>
      <c r="C22" s="329" t="s">
        <v>171</v>
      </c>
      <c r="D22" s="329"/>
      <c r="E22" s="329"/>
      <c r="F22" s="329"/>
      <c r="G22" s="330" t="s">
        <v>35</v>
      </c>
      <c r="H22" s="329"/>
      <c r="I22" s="329"/>
      <c r="J22" s="329"/>
      <c r="K22" s="329"/>
      <c r="L22" s="329"/>
    </row>
    <row r="23" spans="1:12" ht="21.95" customHeight="1">
      <c r="A23" s="329">
        <v>13</v>
      </c>
      <c r="B23" s="329" t="s">
        <v>163</v>
      </c>
      <c r="C23" s="329" t="s">
        <v>183</v>
      </c>
      <c r="D23" s="329"/>
      <c r="E23" s="329"/>
      <c r="F23" s="329"/>
      <c r="G23" s="330"/>
      <c r="H23" s="329"/>
      <c r="I23" s="329"/>
      <c r="J23" s="329"/>
      <c r="K23" s="329"/>
      <c r="L23" s="329"/>
    </row>
    <row r="24" spans="1:12" ht="21.95" customHeight="1">
      <c r="A24" s="329"/>
      <c r="B24" s="329"/>
      <c r="C24" s="329" t="s">
        <v>178</v>
      </c>
      <c r="D24" s="329" t="s">
        <v>179</v>
      </c>
      <c r="E24" s="329"/>
      <c r="F24" s="329"/>
      <c r="G24" s="330" t="s">
        <v>35</v>
      </c>
      <c r="H24" s="331" t="str">
        <f>VLOOKUP($M$5,DataSiswa!$A$8:$R$47,17,FALSE)</f>
        <v>Pegawai BUMN</v>
      </c>
      <c r="I24" s="329"/>
      <c r="J24" s="329"/>
      <c r="K24" s="329"/>
      <c r="L24" s="329"/>
    </row>
    <row r="25" spans="1:12" ht="21.95" customHeight="1">
      <c r="A25" s="329"/>
      <c r="B25" s="329"/>
      <c r="C25" s="329" t="s">
        <v>180</v>
      </c>
      <c r="D25" s="329" t="s">
        <v>181</v>
      </c>
      <c r="E25" s="329"/>
      <c r="F25" s="329"/>
      <c r="G25" s="330" t="s">
        <v>35</v>
      </c>
      <c r="H25" s="331" t="str">
        <f>VLOOKUP($M$5,DataSiswa!$A$8:$R$47,18,FALSE)</f>
        <v>IRT</v>
      </c>
      <c r="I25" s="329"/>
      <c r="J25" s="329"/>
      <c r="K25" s="329"/>
      <c r="L25" s="329"/>
    </row>
    <row r="26" spans="1:12" ht="21.95" customHeight="1">
      <c r="A26" s="329">
        <v>14</v>
      </c>
      <c r="B26" s="329" t="s">
        <v>163</v>
      </c>
      <c r="C26" s="329" t="s">
        <v>184</v>
      </c>
      <c r="D26" s="329"/>
      <c r="E26" s="329"/>
      <c r="F26" s="329"/>
      <c r="G26" s="330" t="s">
        <v>35</v>
      </c>
      <c r="H26" s="331" t="str">
        <f>VLOOKUP($M$5,DataSiswa!$A$8:$V$47,19,FALSE)</f>
        <v>-</v>
      </c>
      <c r="I26" s="329"/>
      <c r="J26" s="329"/>
      <c r="K26" s="329"/>
      <c r="L26" s="329"/>
    </row>
    <row r="27" spans="1:12" ht="21.95" customHeight="1">
      <c r="A27" s="329">
        <v>15</v>
      </c>
      <c r="B27" s="329" t="s">
        <v>163</v>
      </c>
      <c r="C27" s="329" t="s">
        <v>185</v>
      </c>
      <c r="D27" s="329"/>
      <c r="E27" s="329"/>
      <c r="F27" s="329"/>
      <c r="G27" s="330" t="s">
        <v>35</v>
      </c>
      <c r="H27" s="331" t="str">
        <f>VLOOKUP($M$5,DataSiswa!$A$8:$V$47,20,FALSE)</f>
        <v>-</v>
      </c>
      <c r="I27" s="329"/>
      <c r="J27" s="329"/>
      <c r="K27" s="329"/>
      <c r="L27" s="329"/>
    </row>
    <row r="28" spans="1:12" ht="21.95" customHeight="1">
      <c r="A28" s="329"/>
      <c r="B28" s="329"/>
      <c r="C28" s="329" t="s">
        <v>171</v>
      </c>
      <c r="D28" s="329"/>
      <c r="E28" s="329"/>
      <c r="F28" s="329"/>
      <c r="G28" s="330" t="s">
        <v>35</v>
      </c>
      <c r="H28" s="331" t="str">
        <f>VLOOKUP($M$5,DataSiswa!$A$8:$V$47,21,FALSE)</f>
        <v>-</v>
      </c>
      <c r="I28" s="329"/>
      <c r="J28" s="329"/>
      <c r="K28" s="329"/>
      <c r="L28" s="329"/>
    </row>
    <row r="29" spans="1:12" ht="21.95" customHeight="1">
      <c r="A29" s="329">
        <v>16</v>
      </c>
      <c r="B29" s="329" t="s">
        <v>163</v>
      </c>
      <c r="C29" s="329" t="s">
        <v>186</v>
      </c>
      <c r="D29" s="329"/>
      <c r="E29" s="329"/>
      <c r="F29" s="329"/>
      <c r="G29" s="330" t="s">
        <v>35</v>
      </c>
      <c r="H29" s="331" t="str">
        <f>VLOOKUP($M$5,DataSiswa!$A$8:$V$47,22,FALSE)</f>
        <v>-</v>
      </c>
      <c r="I29" s="329"/>
      <c r="J29" s="329"/>
      <c r="K29" s="329"/>
      <c r="L29" s="329"/>
    </row>
    <row r="30" spans="1:12" ht="21.95" customHeight="1"/>
    <row r="31" spans="1:12" ht="20.100000000000001" customHeight="1">
      <c r="C31" s="597"/>
      <c r="D31" s="597"/>
      <c r="E31" s="597"/>
      <c r="F31" s="334"/>
      <c r="H31" s="334" t="s">
        <v>174</v>
      </c>
      <c r="J31" s="335" t="str">
        <f>DataGuru!D16</f>
        <v>Padang, 20  Juni 2015</v>
      </c>
    </row>
    <row r="32" spans="1:12" ht="20.100000000000001" customHeight="1">
      <c r="C32" s="597"/>
      <c r="D32" s="597"/>
      <c r="E32" s="597"/>
      <c r="F32" s="334"/>
      <c r="J32" s="336" t="s">
        <v>187</v>
      </c>
    </row>
    <row r="33" spans="1:13" ht="20.100000000000001" customHeight="1">
      <c r="C33" s="597"/>
      <c r="D33" s="597"/>
      <c r="E33" s="597"/>
      <c r="F33" s="334"/>
    </row>
    <row r="34" spans="1:13" ht="20.100000000000001" customHeight="1">
      <c r="C34" s="597"/>
      <c r="D34" s="597"/>
      <c r="E34" s="597"/>
      <c r="F34" s="334"/>
    </row>
    <row r="35" spans="1:13" ht="20.100000000000001" customHeight="1">
      <c r="C35" s="597"/>
      <c r="D35" s="597"/>
      <c r="E35" s="597"/>
      <c r="F35" s="334"/>
      <c r="J35" s="337"/>
      <c r="K35" s="338"/>
      <c r="L35" s="338"/>
    </row>
    <row r="36" spans="1:13" ht="20.100000000000001" customHeight="1">
      <c r="C36" s="597"/>
      <c r="D36" s="597"/>
      <c r="E36" s="597"/>
      <c r="F36" s="334"/>
      <c r="J36" s="339" t="str">
        <f>DataGuru!D12</f>
        <v>ABINUL HAKIM, S.Pd, M.Si</v>
      </c>
      <c r="K36" s="340"/>
    </row>
    <row r="37" spans="1:13" ht="20.100000000000001" customHeight="1">
      <c r="C37" s="334"/>
      <c r="D37" s="334"/>
      <c r="E37" s="334"/>
      <c r="F37" s="334"/>
      <c r="J37" s="336" t="str">
        <f>DataGuru!D13</f>
        <v>Nip. 196904091994011001</v>
      </c>
    </row>
    <row r="38" spans="1:13" ht="21.95" customHeight="1">
      <c r="A38" s="341"/>
      <c r="B38" s="341"/>
      <c r="C38" s="341"/>
      <c r="D38" s="341"/>
      <c r="E38" s="341"/>
      <c r="F38" s="341"/>
      <c r="G38" s="341"/>
      <c r="H38" s="341"/>
      <c r="I38" s="341"/>
      <c r="J38" s="341"/>
      <c r="K38" s="341"/>
      <c r="L38" s="341"/>
    </row>
    <row r="39" spans="1:13" ht="21.95" customHeight="1">
      <c r="A39" s="329"/>
      <c r="B39" s="329"/>
      <c r="C39" s="329"/>
      <c r="D39" s="329"/>
      <c r="E39" s="329"/>
      <c r="F39" s="329"/>
      <c r="G39" s="329"/>
      <c r="H39" s="329"/>
      <c r="I39" s="329"/>
      <c r="J39" s="329"/>
      <c r="K39" s="329"/>
      <c r="L39" s="329"/>
      <c r="M39" s="16"/>
    </row>
    <row r="40" spans="1:13" ht="20.100000000000001" hidden="1" customHeight="1"/>
    <row r="41" spans="1:13" ht="20.100000000000001" hidden="1" customHeight="1"/>
    <row r="42" spans="1:13" ht="20.100000000000001" hidden="1" customHeight="1"/>
    <row r="43" spans="1:13" ht="20.100000000000001" hidden="1" customHeight="1"/>
    <row r="44" spans="1:13" ht="20.100000000000001" hidden="1" customHeight="1"/>
    <row r="45" spans="1:13" ht="20.100000000000001" hidden="1" customHeight="1"/>
    <row r="46" spans="1:13" ht="20.100000000000001" hidden="1" customHeight="1"/>
    <row r="47" spans="1:13" ht="20.100000000000001" hidden="1" customHeight="1"/>
    <row r="48" spans="1:13" ht="20.100000000000001" hidden="1" customHeight="1"/>
    <row r="49" ht="20.100000000000001" hidden="1" customHeight="1"/>
    <row r="50" ht="20.100000000000001" hidden="1" customHeight="1"/>
    <row r="51" ht="20.100000000000001" hidden="1" customHeight="1"/>
    <row r="52" ht="20.100000000000001" hidden="1" customHeight="1"/>
    <row r="53" ht="20.100000000000001" hidden="1" customHeight="1"/>
    <row r="54" ht="20.100000000000001" hidden="1" customHeight="1"/>
    <row r="55" ht="20.100000000000001" hidden="1" customHeight="1"/>
    <row r="56" ht="20.100000000000001" hidden="1" customHeight="1"/>
    <row r="57" ht="20.100000000000001" hidden="1" customHeight="1"/>
    <row r="58" ht="20.100000000000001" hidden="1" customHeight="1"/>
    <row r="59" ht="20.100000000000001" hidden="1" customHeight="1"/>
    <row r="60" ht="20.100000000000001" hidden="1" customHeight="1"/>
    <row r="61" ht="20.100000000000001" hidden="1" customHeight="1"/>
    <row r="62" ht="20.100000000000001" hidden="1" customHeight="1"/>
    <row r="63" ht="20.100000000000001" hidden="1" customHeight="1"/>
    <row r="64" ht="20.100000000000001" hidden="1" customHeight="1"/>
    <row r="65" ht="20.100000000000001" hidden="1" customHeight="1"/>
    <row r="66" ht="20.100000000000001" hidden="1" customHeight="1"/>
    <row r="67" ht="20.100000000000001" hidden="1" customHeight="1"/>
    <row r="68" ht="20.100000000000001" hidden="1" customHeight="1"/>
    <row r="69" ht="20.100000000000001" hidden="1" customHeight="1"/>
    <row r="70" ht="20.100000000000001" hidden="1" customHeight="1"/>
    <row r="71" ht="20.100000000000001" hidden="1" customHeight="1"/>
    <row r="72" ht="20.100000000000001" hidden="1" customHeight="1"/>
    <row r="73" ht="20.100000000000001" hidden="1" customHeight="1"/>
    <row r="74" ht="20.100000000000001" hidden="1" customHeight="1"/>
    <row r="75" ht="20.100000000000001" hidden="1" customHeight="1"/>
    <row r="76" ht="20.100000000000001" hidden="1" customHeight="1"/>
    <row r="77" ht="20.100000000000001" hidden="1" customHeight="1"/>
    <row r="78" ht="20.100000000000001" hidden="1" customHeight="1"/>
    <row r="79" ht="20.100000000000001" hidden="1" customHeight="1"/>
    <row r="80" ht="20.100000000000001" hidden="1" customHeight="1"/>
    <row r="81" ht="20.100000000000001" hidden="1" customHeight="1"/>
    <row r="82" ht="20.100000000000001" hidden="1" customHeight="1"/>
    <row r="83" ht="20.100000000000001" hidden="1" customHeight="1"/>
    <row r="84" ht="20.100000000000001" hidden="1" customHeight="1"/>
    <row r="85" ht="20.100000000000001" hidden="1" customHeight="1"/>
    <row r="86" ht="20.100000000000001" hidden="1" customHeight="1"/>
    <row r="87" ht="20.100000000000001" hidden="1" customHeight="1"/>
    <row r="88" ht="20.100000000000001" hidden="1" customHeight="1"/>
    <row r="89" ht="20.100000000000001" hidden="1" customHeight="1"/>
    <row r="90" ht="20.100000000000001" hidden="1" customHeight="1"/>
    <row r="91" ht="20.100000000000001" hidden="1" customHeight="1"/>
    <row r="92" ht="20.100000000000001" hidden="1" customHeight="1"/>
    <row r="93" ht="20.100000000000001" hidden="1" customHeight="1"/>
    <row r="94" ht="20.100000000000001" hidden="1" customHeight="1"/>
    <row r="95" ht="20.100000000000001" hidden="1" customHeight="1"/>
    <row r="96" ht="20.100000000000001" hidden="1" customHeight="1"/>
    <row r="97" ht="20.100000000000001" hidden="1" customHeight="1"/>
    <row r="98" ht="20.100000000000001" hidden="1" customHeight="1"/>
    <row r="99" ht="20.100000000000001" hidden="1" customHeight="1"/>
    <row r="100" ht="20.100000000000001" hidden="1" customHeight="1"/>
    <row r="101" ht="20.100000000000001" hidden="1" customHeight="1"/>
    <row r="102" ht="20.100000000000001" hidden="1" customHeight="1"/>
    <row r="103" ht="20.100000000000001" hidden="1" customHeight="1"/>
    <row r="104" ht="20.100000000000001" hidden="1" customHeight="1"/>
    <row r="105" ht="20.100000000000001" hidden="1" customHeight="1"/>
    <row r="106" ht="20.100000000000001" hidden="1" customHeight="1"/>
    <row r="107" ht="20.100000000000001" hidden="1" customHeight="1"/>
    <row r="108" ht="20.100000000000001" hidden="1" customHeight="1"/>
    <row r="109" ht="20.100000000000001" hidden="1" customHeight="1"/>
    <row r="110" ht="20.100000000000001" hidden="1" customHeight="1"/>
    <row r="111" ht="20.100000000000001" hidden="1" customHeight="1"/>
    <row r="112" ht="20.100000000000001" hidden="1" customHeight="1"/>
    <row r="113" ht="20.100000000000001" hidden="1" customHeight="1"/>
    <row r="114" ht="20.100000000000001" hidden="1" customHeight="1"/>
    <row r="115" ht="20.100000000000001" hidden="1" customHeight="1"/>
    <row r="116" ht="20.100000000000001" hidden="1" customHeight="1"/>
    <row r="117" ht="20.100000000000001" hidden="1" customHeight="1"/>
    <row r="118" ht="20.100000000000001" hidden="1" customHeight="1"/>
    <row r="119" ht="20.100000000000001" hidden="1" customHeight="1"/>
    <row r="120" ht="20.100000000000001" hidden="1" customHeight="1"/>
    <row r="121" ht="20.100000000000001" hidden="1" customHeight="1"/>
    <row r="122" ht="20.100000000000001" hidden="1" customHeight="1"/>
    <row r="123" ht="20.100000000000001" hidden="1" customHeight="1"/>
    <row r="124" ht="20.100000000000001" hidden="1" customHeight="1"/>
    <row r="125" ht="20.100000000000001" hidden="1" customHeight="1"/>
    <row r="126" ht="20.100000000000001" hidden="1" customHeight="1"/>
    <row r="127" ht="20.100000000000001" hidden="1" customHeight="1"/>
    <row r="128" ht="20.100000000000001" hidden="1" customHeight="1"/>
    <row r="129" ht="20.100000000000001" hidden="1" customHeight="1"/>
    <row r="130" ht="20.100000000000001" hidden="1" customHeight="1"/>
    <row r="131" ht="20.100000000000001" hidden="1" customHeight="1"/>
    <row r="132" ht="20.100000000000001" hidden="1" customHeight="1"/>
    <row r="133" ht="20.100000000000001" hidden="1" customHeight="1"/>
    <row r="134" ht="20.100000000000001" hidden="1" customHeight="1"/>
    <row r="135" ht="20.100000000000001" hidden="1" customHeight="1"/>
    <row r="136" ht="20.100000000000001" hidden="1" customHeight="1"/>
    <row r="137" ht="20.100000000000001" hidden="1" customHeight="1"/>
    <row r="138" ht="20.100000000000001" hidden="1" customHeight="1"/>
    <row r="139" ht="20.100000000000001" hidden="1" customHeight="1"/>
    <row r="140" ht="20.100000000000001" hidden="1" customHeight="1"/>
    <row r="141" ht="20.100000000000001" hidden="1" customHeight="1"/>
    <row r="142" ht="20.100000000000001" hidden="1" customHeight="1"/>
    <row r="143" ht="20.100000000000001" hidden="1" customHeight="1"/>
    <row r="144" ht="20.100000000000001" hidden="1" customHeight="1"/>
    <row r="145" ht="20.100000000000001" hidden="1" customHeight="1"/>
    <row r="146" ht="20.100000000000001" hidden="1" customHeight="1"/>
    <row r="147" ht="20.100000000000001" hidden="1" customHeight="1"/>
    <row r="148" ht="20.100000000000001" hidden="1" customHeight="1"/>
    <row r="149" ht="20.100000000000001" hidden="1" customHeight="1"/>
    <row r="150" ht="20.100000000000001" hidden="1" customHeight="1"/>
    <row r="151" ht="20.100000000000001" hidden="1" customHeight="1"/>
    <row r="152" ht="20.100000000000001" hidden="1" customHeight="1"/>
    <row r="153" ht="20.100000000000001" hidden="1" customHeight="1"/>
    <row r="154" ht="20.100000000000001" hidden="1" customHeight="1"/>
    <row r="155" ht="20.100000000000001" hidden="1" customHeight="1"/>
    <row r="156" ht="20.100000000000001" hidden="1" customHeight="1"/>
    <row r="157" ht="20.100000000000001" hidden="1" customHeight="1"/>
    <row r="158" ht="20.100000000000001" hidden="1" customHeight="1"/>
    <row r="159" ht="20.100000000000001" hidden="1" customHeight="1"/>
    <row r="160" ht="20.100000000000001" hidden="1" customHeight="1"/>
    <row r="161" ht="20.100000000000001" hidden="1" customHeight="1"/>
    <row r="162" ht="20.100000000000001" hidden="1" customHeight="1"/>
    <row r="163" ht="20.100000000000001" hidden="1" customHeight="1"/>
    <row r="164" ht="20.100000000000001" hidden="1" customHeight="1"/>
    <row r="165" ht="20.100000000000001" hidden="1" customHeight="1"/>
    <row r="166" ht="20.100000000000001" hidden="1" customHeight="1"/>
    <row r="167" ht="20.100000000000001" hidden="1" customHeight="1"/>
    <row r="168" ht="20.100000000000001" hidden="1" customHeight="1"/>
    <row r="169" ht="20.100000000000001" hidden="1" customHeight="1"/>
    <row r="170" ht="20.100000000000001" hidden="1" customHeight="1"/>
    <row r="171" ht="20.100000000000001" hidden="1" customHeight="1"/>
    <row r="172" ht="20.100000000000001" hidden="1" customHeight="1"/>
    <row r="173" ht="20.100000000000001" hidden="1" customHeight="1"/>
    <row r="174" ht="20.100000000000001" hidden="1" customHeight="1"/>
    <row r="175" ht="20.100000000000001" hidden="1" customHeight="1"/>
    <row r="176" ht="20.100000000000001" hidden="1" customHeight="1"/>
    <row r="177" ht="20.100000000000001" hidden="1" customHeight="1"/>
    <row r="178" ht="20.100000000000001" hidden="1" customHeight="1"/>
    <row r="179" ht="20.100000000000001" hidden="1" customHeight="1"/>
    <row r="180" ht="20.100000000000001" hidden="1" customHeight="1"/>
    <row r="181" ht="20.100000000000001" hidden="1" customHeight="1"/>
    <row r="182" ht="20.100000000000001" hidden="1" customHeight="1"/>
    <row r="183" ht="20.100000000000001" hidden="1" customHeight="1"/>
    <row r="184" ht="20.100000000000001" hidden="1" customHeight="1"/>
    <row r="185" ht="20.100000000000001" hidden="1" customHeight="1"/>
    <row r="186" ht="20.100000000000001" hidden="1" customHeight="1"/>
    <row r="187" ht="20.100000000000001" hidden="1" customHeight="1"/>
    <row r="188" ht="20.100000000000001" hidden="1" customHeight="1"/>
    <row r="189" ht="20.100000000000001" hidden="1" customHeight="1"/>
    <row r="190" ht="20.100000000000001" hidden="1" customHeight="1"/>
    <row r="191" ht="20.100000000000001" hidden="1" customHeight="1"/>
    <row r="192" ht="20.100000000000001" hidden="1" customHeight="1"/>
    <row r="193" ht="20.100000000000001" hidden="1" customHeight="1"/>
    <row r="194" ht="20.100000000000001" hidden="1" customHeight="1"/>
    <row r="195" ht="20.100000000000001" hidden="1" customHeight="1"/>
    <row r="196" ht="20.100000000000001" hidden="1" customHeight="1"/>
    <row r="197" ht="20.100000000000001" hidden="1" customHeight="1"/>
    <row r="198" ht="20.100000000000001" hidden="1" customHeight="1"/>
    <row r="199" ht="20.100000000000001" hidden="1" customHeight="1"/>
    <row r="200" ht="20.100000000000001" hidden="1" customHeight="1"/>
    <row r="201" ht="20.100000000000001" hidden="1" customHeight="1"/>
    <row r="202" ht="20.100000000000001" hidden="1" customHeight="1"/>
    <row r="203" ht="20.100000000000001" hidden="1" customHeight="1"/>
    <row r="204" ht="20.100000000000001" hidden="1" customHeight="1"/>
    <row r="205" ht="20.100000000000001" hidden="1" customHeight="1"/>
    <row r="206" ht="20.100000000000001" hidden="1" customHeight="1"/>
    <row r="207" ht="20.100000000000001" hidden="1" customHeight="1"/>
    <row r="208" ht="20.100000000000001" hidden="1" customHeight="1"/>
    <row r="209" ht="20.100000000000001" hidden="1" customHeight="1"/>
    <row r="210" ht="20.100000000000001" hidden="1" customHeight="1"/>
    <row r="211" ht="20.100000000000001" hidden="1" customHeight="1"/>
    <row r="212" ht="20.100000000000001" hidden="1" customHeight="1"/>
    <row r="213" ht="20.100000000000001" hidden="1" customHeight="1"/>
    <row r="214" ht="20.100000000000001" hidden="1" customHeight="1"/>
    <row r="215" ht="20.100000000000001" hidden="1" customHeight="1"/>
    <row r="216" ht="20.100000000000001" hidden="1" customHeight="1"/>
    <row r="217" ht="20.100000000000001" hidden="1" customHeight="1"/>
    <row r="218" ht="20.100000000000001" hidden="1" customHeight="1"/>
    <row r="219" ht="20.100000000000001" hidden="1" customHeight="1"/>
    <row r="220" ht="20.100000000000001" hidden="1" customHeight="1"/>
    <row r="221" ht="20.100000000000001" hidden="1" customHeight="1"/>
    <row r="222" ht="20.100000000000001" hidden="1" customHeight="1"/>
    <row r="223" ht="20.100000000000001" hidden="1" customHeight="1"/>
    <row r="224" ht="20.100000000000001" hidden="1" customHeight="1"/>
    <row r="225" ht="20.100000000000001" hidden="1" customHeight="1"/>
    <row r="226" ht="20.100000000000001" hidden="1" customHeight="1"/>
    <row r="227" ht="20.100000000000001" hidden="1" customHeight="1"/>
    <row r="228" ht="20.100000000000001" hidden="1" customHeight="1"/>
    <row r="229" ht="20.100000000000001" hidden="1" customHeight="1"/>
    <row r="230" ht="20.100000000000001" hidden="1" customHeight="1"/>
    <row r="231" ht="20.100000000000001" hidden="1" customHeight="1"/>
    <row r="232" ht="20.100000000000001" hidden="1" customHeight="1"/>
    <row r="233" ht="20.100000000000001" hidden="1" customHeight="1"/>
    <row r="234" ht="20.100000000000001" hidden="1" customHeight="1"/>
    <row r="235" ht="20.100000000000001" hidden="1" customHeight="1"/>
    <row r="236" ht="20.100000000000001" hidden="1" customHeight="1"/>
    <row r="237" ht="20.100000000000001" hidden="1" customHeight="1"/>
    <row r="238" ht="20.100000000000001" hidden="1" customHeight="1"/>
    <row r="239" ht="20.100000000000001" hidden="1" customHeight="1"/>
    <row r="240" ht="20.100000000000001" hidden="1" customHeight="1"/>
    <row r="241" ht="20.100000000000001" hidden="1" customHeight="1"/>
    <row r="242" ht="20.100000000000001" hidden="1" customHeight="1"/>
    <row r="243" ht="20.100000000000001" hidden="1" customHeight="1"/>
    <row r="244" ht="20.100000000000001" hidden="1" customHeight="1"/>
    <row r="245" ht="20.100000000000001" hidden="1" customHeight="1"/>
    <row r="246" ht="20.100000000000001" hidden="1" customHeight="1"/>
    <row r="247" ht="20.100000000000001" hidden="1" customHeight="1"/>
    <row r="248" ht="20.100000000000001" hidden="1" customHeight="1"/>
    <row r="249" ht="20.100000000000001" hidden="1" customHeight="1"/>
    <row r="250" ht="20.100000000000001" hidden="1" customHeight="1"/>
    <row r="251" ht="20.100000000000001" hidden="1" customHeight="1"/>
    <row r="252" ht="20.100000000000001" hidden="1" customHeight="1"/>
    <row r="253" ht="20.100000000000001" hidden="1" customHeight="1"/>
    <row r="254" ht="20.100000000000001" hidden="1" customHeight="1"/>
    <row r="255" ht="20.100000000000001" hidden="1" customHeight="1"/>
    <row r="256" ht="20.100000000000001" hidden="1" customHeight="1"/>
    <row r="257" ht="20.100000000000001" hidden="1" customHeight="1"/>
    <row r="258" ht="20.100000000000001" hidden="1" customHeight="1"/>
    <row r="259" ht="20.100000000000001" hidden="1" customHeight="1"/>
    <row r="260" ht="20.100000000000001" hidden="1" customHeight="1"/>
    <row r="261" ht="20.100000000000001" hidden="1" customHeight="1"/>
    <row r="262" ht="20.100000000000001" hidden="1" customHeight="1"/>
    <row r="263" ht="20.100000000000001" hidden="1" customHeight="1"/>
    <row r="264" ht="20.100000000000001" hidden="1" customHeight="1"/>
    <row r="265" ht="20.100000000000001" hidden="1" customHeight="1"/>
    <row r="266" ht="20.100000000000001" hidden="1" customHeight="1"/>
    <row r="267" ht="20.100000000000001" hidden="1" customHeight="1"/>
    <row r="268" ht="20.100000000000001" hidden="1" customHeight="1"/>
    <row r="269" ht="20.100000000000001" hidden="1" customHeight="1"/>
    <row r="270" ht="20.100000000000001" hidden="1" customHeight="1"/>
    <row r="271" ht="20.100000000000001" hidden="1" customHeight="1"/>
    <row r="272" ht="20.100000000000001" hidden="1" customHeight="1"/>
    <row r="273" ht="20.100000000000001" hidden="1" customHeight="1"/>
    <row r="274" ht="20.100000000000001" hidden="1" customHeight="1"/>
    <row r="275" ht="20.100000000000001" hidden="1" customHeight="1"/>
    <row r="276" ht="20.100000000000001" hidden="1" customHeight="1"/>
    <row r="277" ht="20.100000000000001" hidden="1" customHeight="1"/>
    <row r="278" ht="20.100000000000001" hidden="1" customHeight="1"/>
    <row r="279" ht="20.100000000000001" hidden="1" customHeight="1"/>
    <row r="280" ht="20.100000000000001" hidden="1" customHeight="1"/>
    <row r="281" ht="20.100000000000001" hidden="1" customHeight="1"/>
    <row r="282" ht="20.100000000000001" hidden="1" customHeight="1"/>
    <row r="283" ht="20.100000000000001" hidden="1" customHeight="1"/>
    <row r="284" ht="20.100000000000001" hidden="1" customHeight="1"/>
    <row r="285" ht="20.100000000000001" hidden="1" customHeight="1"/>
    <row r="286" ht="20.100000000000001" hidden="1" customHeight="1"/>
    <row r="287" ht="20.100000000000001" hidden="1" customHeight="1"/>
    <row r="288" ht="20.100000000000001" hidden="1" customHeight="1"/>
    <row r="289" ht="20.100000000000001" hidden="1" customHeight="1"/>
    <row r="290" ht="20.100000000000001" hidden="1" customHeight="1"/>
    <row r="291" ht="20.100000000000001" hidden="1" customHeight="1"/>
    <row r="292" ht="20.100000000000001" hidden="1" customHeight="1"/>
    <row r="293" ht="20.100000000000001" hidden="1" customHeight="1"/>
    <row r="294" ht="20.100000000000001" hidden="1" customHeight="1"/>
    <row r="295" ht="20.100000000000001" hidden="1" customHeight="1"/>
    <row r="296" ht="20.100000000000001" hidden="1" customHeight="1"/>
    <row r="297" ht="20.100000000000001" hidden="1" customHeight="1"/>
    <row r="298" ht="20.100000000000001" hidden="1" customHeight="1"/>
    <row r="299" ht="20.100000000000001" hidden="1" customHeight="1"/>
    <row r="300" ht="20.100000000000001" hidden="1" customHeight="1"/>
    <row r="301" ht="20.100000000000001" hidden="1" customHeight="1"/>
    <row r="302" ht="20.100000000000001" hidden="1" customHeight="1"/>
    <row r="303" ht="20.100000000000001" hidden="1" customHeight="1"/>
    <row r="304" ht="20.100000000000001" hidden="1" customHeight="1"/>
    <row r="305" ht="20.100000000000001" hidden="1" customHeight="1"/>
    <row r="306" ht="20.100000000000001" hidden="1" customHeight="1"/>
    <row r="307" ht="20.100000000000001" hidden="1" customHeight="1"/>
    <row r="308" ht="20.100000000000001" hidden="1" customHeight="1"/>
    <row r="309" ht="20.100000000000001" hidden="1" customHeight="1"/>
    <row r="310" ht="20.100000000000001" hidden="1" customHeight="1"/>
    <row r="311" ht="20.100000000000001" hidden="1" customHeight="1"/>
    <row r="312" ht="20.100000000000001" hidden="1" customHeight="1"/>
    <row r="313" ht="20.100000000000001" hidden="1" customHeight="1"/>
    <row r="314" ht="20.100000000000001" hidden="1" customHeight="1"/>
    <row r="315" ht="20.100000000000001" hidden="1" customHeight="1"/>
    <row r="316" ht="20.100000000000001" hidden="1" customHeight="1"/>
    <row r="317" ht="20.100000000000001" hidden="1" customHeight="1"/>
    <row r="318" ht="20.100000000000001" hidden="1" customHeight="1"/>
    <row r="319" ht="20.100000000000001" hidden="1" customHeight="1"/>
    <row r="320" ht="20.100000000000001" hidden="1" customHeight="1"/>
    <row r="321" ht="20.100000000000001" hidden="1" customHeight="1"/>
    <row r="322" ht="20.100000000000001" hidden="1" customHeight="1"/>
    <row r="323" ht="20.100000000000001" hidden="1" customHeight="1"/>
    <row r="324" ht="20.100000000000001" hidden="1" customHeight="1"/>
    <row r="325" ht="20.100000000000001" hidden="1" customHeight="1"/>
    <row r="326" ht="20.100000000000001" hidden="1" customHeight="1"/>
    <row r="327" ht="20.100000000000001" hidden="1" customHeight="1"/>
    <row r="328" ht="20.100000000000001" hidden="1" customHeight="1"/>
    <row r="329" ht="20.100000000000001" hidden="1" customHeight="1"/>
    <row r="330" ht="20.100000000000001" hidden="1" customHeight="1"/>
    <row r="331" ht="20.100000000000001" hidden="1" customHeight="1"/>
    <row r="332" ht="20.100000000000001" hidden="1" customHeight="1"/>
    <row r="333" ht="20.100000000000001" hidden="1" customHeight="1"/>
    <row r="334" ht="20.100000000000001" hidden="1" customHeight="1"/>
    <row r="335" ht="20.100000000000001" hidden="1" customHeight="1"/>
    <row r="336" ht="20.100000000000001" hidden="1" customHeight="1"/>
    <row r="337" ht="20.100000000000001" hidden="1" customHeight="1"/>
    <row r="338" ht="20.100000000000001" hidden="1" customHeight="1"/>
    <row r="339" ht="20.100000000000001" hidden="1" customHeight="1"/>
    <row r="340" ht="20.100000000000001" hidden="1" customHeight="1"/>
    <row r="341" ht="20.100000000000001" hidden="1" customHeight="1"/>
    <row r="342" ht="20.100000000000001" hidden="1" customHeight="1"/>
    <row r="343" ht="20.100000000000001" hidden="1" customHeight="1"/>
    <row r="344" ht="20.100000000000001" hidden="1" customHeight="1"/>
    <row r="345" ht="20.100000000000001" hidden="1" customHeight="1"/>
    <row r="346" ht="20.100000000000001" hidden="1" customHeight="1"/>
    <row r="347" ht="20.100000000000001" hidden="1" customHeight="1"/>
    <row r="348" ht="20.100000000000001" hidden="1" customHeight="1"/>
    <row r="349" ht="20.100000000000001" hidden="1" customHeight="1"/>
    <row r="350" ht="20.100000000000001" hidden="1" customHeight="1"/>
    <row r="351" ht="20.100000000000001" hidden="1" customHeight="1"/>
    <row r="352" ht="20.100000000000001" hidden="1" customHeight="1"/>
    <row r="353" ht="20.100000000000001" hidden="1" customHeight="1"/>
    <row r="354" ht="20.100000000000001" hidden="1" customHeight="1"/>
    <row r="355" ht="20.100000000000001" hidden="1" customHeight="1"/>
    <row r="356" ht="20.100000000000001" hidden="1" customHeight="1"/>
    <row r="357" ht="20.100000000000001" hidden="1" customHeight="1"/>
    <row r="358" ht="20.100000000000001" hidden="1" customHeight="1"/>
    <row r="359" ht="20.100000000000001" hidden="1" customHeight="1"/>
    <row r="360" ht="20.100000000000001" hidden="1" customHeight="1"/>
    <row r="361" ht="20.100000000000001" hidden="1" customHeight="1"/>
    <row r="362" ht="20.100000000000001" hidden="1" customHeight="1"/>
    <row r="363" ht="20.100000000000001" hidden="1" customHeight="1"/>
    <row r="364" ht="20.100000000000001" hidden="1" customHeight="1"/>
    <row r="365" ht="20.100000000000001" hidden="1" customHeight="1"/>
    <row r="366" ht="20.100000000000001" hidden="1" customHeight="1"/>
    <row r="367" ht="20.100000000000001" hidden="1" customHeight="1"/>
    <row r="368" ht="20.100000000000001" hidden="1" customHeight="1"/>
    <row r="369" ht="20.100000000000001" hidden="1" customHeight="1"/>
    <row r="370" ht="20.100000000000001" hidden="1" customHeight="1"/>
    <row r="371" ht="20.100000000000001" hidden="1" customHeight="1"/>
    <row r="372" ht="20.100000000000001" hidden="1" customHeight="1"/>
    <row r="373" ht="20.100000000000001" hidden="1" customHeight="1"/>
    <row r="374" ht="20.100000000000001" hidden="1" customHeight="1"/>
    <row r="375" ht="20.100000000000001" hidden="1" customHeight="1"/>
    <row r="376" ht="20.100000000000001" hidden="1" customHeight="1"/>
    <row r="377" ht="20.100000000000001" hidden="1" customHeight="1"/>
    <row r="378" ht="20.100000000000001" hidden="1" customHeight="1"/>
    <row r="379" ht="20.100000000000001" hidden="1" customHeight="1"/>
    <row r="380" ht="20.100000000000001" hidden="1" customHeight="1"/>
    <row r="381" ht="20.100000000000001" hidden="1" customHeight="1"/>
    <row r="382" ht="20.100000000000001" hidden="1" customHeight="1"/>
    <row r="383" ht="20.100000000000001" hidden="1" customHeight="1"/>
    <row r="384" ht="20.100000000000001" hidden="1" customHeight="1"/>
    <row r="385" ht="20.100000000000001" hidden="1" customHeight="1"/>
    <row r="386" ht="20.100000000000001" hidden="1" customHeight="1"/>
    <row r="387" ht="20.100000000000001" hidden="1" customHeight="1"/>
    <row r="388" ht="20.100000000000001" hidden="1" customHeight="1"/>
    <row r="389" ht="20.100000000000001" hidden="1" customHeight="1"/>
    <row r="390" ht="20.100000000000001" hidden="1" customHeight="1"/>
  </sheetData>
  <mergeCells count="5">
    <mergeCell ref="A2:L2"/>
    <mergeCell ref="H5:K5"/>
    <mergeCell ref="H6:I6"/>
    <mergeCell ref="H13:J13"/>
    <mergeCell ref="C31:E36"/>
  </mergeCells>
  <printOptions horizontalCentered="1" verticalCentered="1"/>
  <pageMargins left="0.70866141732283472" right="0.43307086614173229" top="0.74803149606299213" bottom="0.9055118110236221" header="0.31496062992125984" footer="0.31496062992125984"/>
  <pageSetup paperSize="9" scale="93" firstPageNumber="2" orientation="portrait" useFirstPageNumber="1" horizontalDpi="4294967293" verticalDpi="4294967293" r:id="rId1"/>
  <headerFooter>
    <oddFooter>&amp;C&amp;P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655" r:id="rId4" name="Spinner 935">
              <controlPr defaultSize="0" autoPict="0">
                <anchor moveWithCells="1" sizeWithCells="1">
                  <from>
                    <xdr:col>11</xdr:col>
                    <xdr:colOff>676275</xdr:colOff>
                    <xdr:row>4</xdr:row>
                    <xdr:rowOff>266700</xdr:rowOff>
                  </from>
                  <to>
                    <xdr:col>12</xdr:col>
                    <xdr:colOff>676275</xdr:colOff>
                    <xdr:row>6</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00B050"/>
  </sheetPr>
  <dimension ref="B1:Q64"/>
  <sheetViews>
    <sheetView zoomScale="60" zoomScaleNormal="60" workbookViewId="0">
      <selection activeCell="Q12" sqref="Q12:Q13"/>
    </sheetView>
  </sheetViews>
  <sheetFormatPr defaultRowHeight="15"/>
  <cols>
    <col min="1" max="1" width="11.140625" style="153" customWidth="1"/>
    <col min="2" max="2" width="3" style="153" customWidth="1"/>
    <col min="3" max="3" width="3.7109375" style="153" customWidth="1"/>
    <col min="4" max="4" width="19.7109375" style="153" customWidth="1"/>
    <col min="5" max="5" width="16" style="153" customWidth="1"/>
    <col min="6" max="7" width="6.140625" style="153" customWidth="1"/>
    <col min="8" max="8" width="8" style="153" customWidth="1"/>
    <col min="9" max="9" width="1.28515625" style="153" hidden="1" customWidth="1"/>
    <col min="10" max="11" width="6" style="153" customWidth="1"/>
    <col min="12" max="12" width="8.42578125" style="153" customWidth="1"/>
    <col min="13" max="13" width="11.85546875" style="153" customWidth="1"/>
    <col min="14" max="14" width="18.28515625" style="153" customWidth="1"/>
    <col min="15" max="15" width="3" style="153" customWidth="1"/>
    <col min="16" max="16" width="9.140625" style="153"/>
    <col min="17" max="17" width="9.85546875" style="153" customWidth="1"/>
    <col min="18" max="16384" width="9.140625" style="153"/>
  </cols>
  <sheetData>
    <row r="1" spans="2:17" ht="22.5" customHeight="1">
      <c r="C1" s="154"/>
      <c r="D1" s="154"/>
      <c r="E1" s="154"/>
      <c r="F1" s="154"/>
      <c r="G1" s="154"/>
      <c r="H1" s="154"/>
      <c r="I1" s="154"/>
      <c r="J1" s="154"/>
      <c r="K1" s="154"/>
      <c r="L1" s="154"/>
      <c r="M1" s="154"/>
      <c r="N1" s="154"/>
    </row>
    <row r="2" spans="2:17" ht="15.75" customHeight="1" thickBot="1">
      <c r="B2" s="155"/>
      <c r="C2" s="156"/>
      <c r="D2" s="156"/>
      <c r="E2" s="156"/>
      <c r="F2" s="156"/>
      <c r="G2" s="156"/>
      <c r="H2" s="156"/>
      <c r="I2" s="156"/>
      <c r="J2" s="156"/>
      <c r="K2" s="156"/>
      <c r="L2" s="156"/>
      <c r="M2" s="156"/>
      <c r="N2" s="156"/>
      <c r="O2" s="155"/>
    </row>
    <row r="3" spans="2:17" ht="14.1" customHeight="1" thickTop="1">
      <c r="B3" s="155"/>
      <c r="C3" s="342" t="s">
        <v>696</v>
      </c>
      <c r="D3" s="342"/>
      <c r="E3" s="342" t="str">
        <f>DataGuru!D7</f>
        <v>SMA NEGERI 4 PADANG</v>
      </c>
      <c r="F3" s="342"/>
      <c r="G3" s="342"/>
      <c r="H3" s="342"/>
      <c r="I3" s="342"/>
      <c r="J3" s="343"/>
      <c r="K3" s="343"/>
      <c r="L3" s="611" t="s">
        <v>692</v>
      </c>
      <c r="M3" s="611"/>
      <c r="N3" s="344" t="str">
        <f>DataGuru!D10</f>
        <v>XI MIA 4</v>
      </c>
      <c r="O3" s="157"/>
      <c r="P3" s="158"/>
      <c r="Q3" s="635" t="s">
        <v>243</v>
      </c>
    </row>
    <row r="4" spans="2:17" ht="14.1" customHeight="1" thickBot="1">
      <c r="B4" s="155"/>
      <c r="C4" s="342" t="s">
        <v>694</v>
      </c>
      <c r="D4" s="342"/>
      <c r="E4" s="342" t="str">
        <f>DataGuru!D8</f>
        <v>Jl. Linggar Jati no.1 Lubuk Begalung</v>
      </c>
      <c r="F4" s="342"/>
      <c r="G4" s="342"/>
      <c r="H4" s="342"/>
      <c r="I4" s="342"/>
      <c r="J4" s="343"/>
      <c r="K4" s="343"/>
      <c r="L4" s="611" t="s">
        <v>691</v>
      </c>
      <c r="M4" s="611"/>
      <c r="N4" s="344" t="str">
        <f>DataGuru!D11</f>
        <v>2</v>
      </c>
      <c r="O4" s="157"/>
      <c r="P4" s="158"/>
      <c r="Q4" s="636"/>
    </row>
    <row r="5" spans="2:17" ht="14.1" customHeight="1" thickTop="1">
      <c r="B5" s="155"/>
      <c r="C5" s="342" t="s">
        <v>693</v>
      </c>
      <c r="D5" s="342"/>
      <c r="E5" s="342" t="str">
        <f>VLOOKUP(Q6,DataSiswa!$A$8:$CR$47,3)</f>
        <v>Wahyu Yolanda</v>
      </c>
      <c r="F5" s="342"/>
      <c r="G5" s="342"/>
      <c r="H5" s="342"/>
      <c r="I5" s="342"/>
      <c r="J5" s="343"/>
      <c r="K5" s="343"/>
      <c r="L5" s="611" t="s">
        <v>697</v>
      </c>
      <c r="M5" s="611"/>
      <c r="N5" s="343" t="str">
        <f>DataGuru!D9</f>
        <v>2014/2015</v>
      </c>
      <c r="O5" s="157"/>
      <c r="P5" s="158"/>
    </row>
    <row r="6" spans="2:17" ht="14.1" customHeight="1">
      <c r="B6" s="155"/>
      <c r="C6" s="342" t="s">
        <v>695</v>
      </c>
      <c r="D6" s="342"/>
      <c r="E6" s="343" t="str">
        <f>VLOOKUP(Q6,DataSiswa!$A$8:$CR$47,2)</f>
        <v>9982889268</v>
      </c>
      <c r="F6" s="342"/>
      <c r="G6" s="342"/>
      <c r="H6" s="342"/>
      <c r="I6" s="342"/>
      <c r="J6" s="342"/>
      <c r="K6" s="342"/>
      <c r="L6" s="342"/>
      <c r="M6" s="342"/>
      <c r="N6" s="342"/>
      <c r="O6" s="157"/>
      <c r="P6" s="158"/>
      <c r="Q6" s="616">
        <v>32</v>
      </c>
    </row>
    <row r="7" spans="2:17" ht="9.75" customHeight="1">
      <c r="B7" s="155"/>
      <c r="C7" s="345"/>
      <c r="D7" s="345"/>
      <c r="E7" s="345"/>
      <c r="F7" s="345"/>
      <c r="G7" s="345"/>
      <c r="H7" s="345"/>
      <c r="I7" s="345"/>
      <c r="J7" s="345"/>
      <c r="K7" s="345"/>
      <c r="L7" s="345"/>
      <c r="M7" s="345"/>
      <c r="N7" s="345"/>
      <c r="O7" s="155"/>
      <c r="Q7" s="617"/>
    </row>
    <row r="8" spans="2:17" ht="17.100000000000001" customHeight="1">
      <c r="B8" s="155"/>
      <c r="C8" s="346" t="s">
        <v>205</v>
      </c>
      <c r="D8" s="345"/>
      <c r="E8" s="345"/>
      <c r="F8" s="345"/>
      <c r="G8" s="345"/>
      <c r="H8" s="345"/>
      <c r="I8" s="345"/>
      <c r="J8" s="345"/>
      <c r="K8" s="345"/>
      <c r="L8" s="345"/>
      <c r="M8" s="345"/>
      <c r="N8" s="345"/>
      <c r="O8" s="155"/>
    </row>
    <row r="9" spans="2:17" ht="11.25" customHeight="1" thickBot="1">
      <c r="B9" s="155"/>
      <c r="C9" s="345"/>
      <c r="D9" s="345"/>
      <c r="E9" s="347"/>
      <c r="F9" s="345"/>
      <c r="G9" s="345"/>
      <c r="H9" s="345"/>
      <c r="I9" s="345"/>
      <c r="J9" s="345"/>
      <c r="K9" s="345"/>
      <c r="L9" s="345"/>
      <c r="M9" s="345"/>
      <c r="N9" s="345"/>
      <c r="O9" s="155"/>
      <c r="Q9" s="158"/>
    </row>
    <row r="10" spans="2:17" ht="30" customHeight="1" thickBot="1">
      <c r="B10" s="155"/>
      <c r="C10" s="637" t="s">
        <v>9</v>
      </c>
      <c r="D10" s="638"/>
      <c r="E10" s="639"/>
      <c r="F10" s="647" t="s">
        <v>213</v>
      </c>
      <c r="G10" s="647"/>
      <c r="H10" s="656"/>
      <c r="I10" s="656"/>
      <c r="J10" s="644" t="s">
        <v>214</v>
      </c>
      <c r="K10" s="645"/>
      <c r="L10" s="646"/>
      <c r="M10" s="647" t="s">
        <v>223</v>
      </c>
      <c r="N10" s="647"/>
      <c r="O10" s="155"/>
      <c r="Q10" s="292" t="s">
        <v>304</v>
      </c>
    </row>
    <row r="11" spans="2:17" ht="18" customHeight="1" thickBot="1">
      <c r="B11" s="155"/>
      <c r="C11" s="640"/>
      <c r="D11" s="641"/>
      <c r="E11" s="642"/>
      <c r="F11" s="600" t="s">
        <v>41</v>
      </c>
      <c r="G11" s="601"/>
      <c r="H11" s="648" t="s">
        <v>42</v>
      </c>
      <c r="I11" s="648"/>
      <c r="J11" s="600" t="s">
        <v>41</v>
      </c>
      <c r="K11" s="601"/>
      <c r="L11" s="348" t="s">
        <v>42</v>
      </c>
      <c r="M11" s="348" t="s">
        <v>298</v>
      </c>
      <c r="N11" s="348" t="s">
        <v>297</v>
      </c>
      <c r="O11" s="155"/>
    </row>
    <row r="12" spans="2:17" ht="17.25" customHeight="1">
      <c r="B12" s="155"/>
      <c r="C12" s="649" t="s">
        <v>195</v>
      </c>
      <c r="D12" s="650"/>
      <c r="E12" s="349"/>
      <c r="F12" s="350" t="s">
        <v>196</v>
      </c>
      <c r="G12" s="464" t="s">
        <v>626</v>
      </c>
      <c r="H12" s="651" t="s">
        <v>197</v>
      </c>
      <c r="I12" s="652"/>
      <c r="J12" s="350" t="s">
        <v>196</v>
      </c>
      <c r="K12" s="350" t="s">
        <v>626</v>
      </c>
      <c r="L12" s="351" t="s">
        <v>197</v>
      </c>
      <c r="M12" s="352" t="s">
        <v>198</v>
      </c>
      <c r="N12" s="653" t="str">
        <f>VLOOKUP(Q6,KEP!$C$9:$L$48,4)</f>
        <v>Mampu menghayati hidup sebagai anugerah dengan amat baik, berperilaku disiplin dengan baik, berkolaborasi dengan amat baik, menunjukkan rasa ingin tahu yang tinggi, mampu berpkir logis dan kritis dengan baik sekali dan mampu berkomunikasi secara empatik dengan baik.</v>
      </c>
      <c r="O12" s="155"/>
      <c r="Q12" s="629" t="s">
        <v>311</v>
      </c>
    </row>
    <row r="13" spans="2:17" ht="12" customHeight="1" thickBot="1">
      <c r="B13" s="155"/>
      <c r="C13" s="631">
        <v>1</v>
      </c>
      <c r="D13" s="612" t="s">
        <v>208</v>
      </c>
      <c r="E13" s="613"/>
      <c r="F13" s="602">
        <f>VLOOKUP($Q$6,AG!$B$14:$L$53,7)</f>
        <v>3.6</v>
      </c>
      <c r="G13" s="598">
        <f>F13/0.04</f>
        <v>90</v>
      </c>
      <c r="H13" s="604" t="str">
        <f>VLOOKUP(F13,Kon!$B$1:$C$101,2)</f>
        <v>A-</v>
      </c>
      <c r="I13" s="353" t="str">
        <f>IF(F6&lt;=50,"E",IF(F6&lt;=55,"D",IF(F6&lt;=60,"CD",IF(F6&lt;=65,"C",IF(F6&lt;=70,"BC",IF(F6&lt;=80,"B",IF(F6&lt;=85,"AB","A")))))))</f>
        <v>E</v>
      </c>
      <c r="J13" s="602">
        <f>VLOOKUP($Q$6,AG!$B$14:$L$53,8)</f>
        <v>3.84</v>
      </c>
      <c r="K13" s="598">
        <f>J13/0.04</f>
        <v>96</v>
      </c>
      <c r="L13" s="604" t="str">
        <f>VLOOKUP(J13,Kon!$B$1:$C$101,2)</f>
        <v>A-</v>
      </c>
      <c r="M13" s="631" t="str">
        <f>VLOOKUP($Q$6,AG!$B$14:$L$53,6)</f>
        <v>SB</v>
      </c>
      <c r="N13" s="654"/>
      <c r="O13" s="155"/>
      <c r="Q13" s="630"/>
    </row>
    <row r="14" spans="2:17" ht="12" customHeight="1">
      <c r="B14" s="155"/>
      <c r="C14" s="632"/>
      <c r="D14" s="614" t="str">
        <f>"Guru  :  "&amp;DataGuru!D20</f>
        <v>Guru  :  Dra.Amna Nurdin</v>
      </c>
      <c r="E14" s="615"/>
      <c r="F14" s="603" t="e">
        <f>VLOOKUP(Q8,AG!$B$14:$L$53,4)</f>
        <v>#N/A</v>
      </c>
      <c r="G14" s="599"/>
      <c r="H14" s="605"/>
      <c r="I14" s="354" t="str">
        <f>IF(F7&lt;=50,"E",IF(F7&lt;=55,"D",IF(F7&lt;=60,"CD",IF(F7&lt;=65,"C",IF(F7&lt;=70,"BC",IF(F7&lt;=80,"B",IF(F7&lt;=85,"AB","A")))))))</f>
        <v>E</v>
      </c>
      <c r="J14" s="603" t="e">
        <f>VLOOKUP(T8,AG!$B$14:$L$53,4)</f>
        <v>#N/A</v>
      </c>
      <c r="K14" s="599"/>
      <c r="L14" s="605"/>
      <c r="M14" s="632" t="e">
        <f>VLOOKUP(V8,AG!$B$14:$L$53,4)</f>
        <v>#N/A</v>
      </c>
      <c r="N14" s="654"/>
      <c r="O14" s="155"/>
    </row>
    <row r="15" spans="2:17" ht="12" customHeight="1">
      <c r="B15" s="155"/>
      <c r="C15" s="631">
        <v>2</v>
      </c>
      <c r="D15" s="627" t="s">
        <v>209</v>
      </c>
      <c r="E15" s="628"/>
      <c r="F15" s="602">
        <f>VLOOKUP($Q$6,PPKN!$B$14:$L$53,7)</f>
        <v>3.44</v>
      </c>
      <c r="G15" s="598">
        <f t="shared" ref="G15" si="0">F15/0.04</f>
        <v>86</v>
      </c>
      <c r="H15" s="604" t="str">
        <f>VLOOKUP(F15,Kon!$B$1:$C$101,2)</f>
        <v>B+</v>
      </c>
      <c r="I15" s="353" t="str">
        <f>IF(H15&lt;=1.33,"D+",IF(H15&lt;=1.66,"C-",IF(H15&lt;=2,"C",IF(H15&lt;=2.33,"C+",IF(H15&lt;=2.66,"B-",IF(H15&lt;=3,"B",IF(H15&lt;=3.33,"B+",IF(H15&lt;3.66,"A-","A"))))))))</f>
        <v>A</v>
      </c>
      <c r="J15" s="602">
        <f>VLOOKUP($Q$6,PPKN!$B$14:$L$53,8)</f>
        <v>3.52</v>
      </c>
      <c r="K15" s="598">
        <f t="shared" ref="K15" si="1">J15/0.04</f>
        <v>88</v>
      </c>
      <c r="L15" s="604" t="str">
        <f>VLOOKUP(J15,Kon!$B$1:$C$101,2)</f>
        <v>A-</v>
      </c>
      <c r="M15" s="631" t="str">
        <f>VLOOKUP($Q$6,PPKN!$B$14:$L$53,6)</f>
        <v>SB</v>
      </c>
      <c r="N15" s="654"/>
      <c r="O15" s="155"/>
    </row>
    <row r="16" spans="2:17" ht="12" customHeight="1">
      <c r="B16" s="155"/>
      <c r="C16" s="632"/>
      <c r="D16" s="614" t="str">
        <f>"Guru  :  "&amp;DataGuru!D21</f>
        <v>Guru  :  Ni Wayan Parmiti, S. Pd</v>
      </c>
      <c r="E16" s="615"/>
      <c r="F16" s="603"/>
      <c r="G16" s="599"/>
      <c r="H16" s="605"/>
      <c r="I16" s="354"/>
      <c r="J16" s="603" t="e">
        <f>VLOOKUP(T10,AG!$B$14:$L$53,4)</f>
        <v>#N/A</v>
      </c>
      <c r="K16" s="599"/>
      <c r="L16" s="605"/>
      <c r="M16" s="632" t="e">
        <f>VLOOKUP(V10,AG!$B$14:$L$53,4)</f>
        <v>#N/A</v>
      </c>
      <c r="N16" s="654"/>
      <c r="O16" s="155"/>
    </row>
    <row r="17" spans="2:15" ht="12" customHeight="1">
      <c r="B17" s="155"/>
      <c r="C17" s="631">
        <v>3</v>
      </c>
      <c r="D17" s="612" t="s">
        <v>43</v>
      </c>
      <c r="E17" s="613"/>
      <c r="F17" s="657">
        <f>VLOOKUP($Q$6,B.ind!$B$14:$L$53,7)</f>
        <v>3.36</v>
      </c>
      <c r="G17" s="598">
        <f t="shared" ref="G17" si="2">F17/0.04</f>
        <v>84</v>
      </c>
      <c r="H17" s="604" t="str">
        <f>VLOOKUP(F17,Kon!$B$1:$C$101,2)</f>
        <v>B+</v>
      </c>
      <c r="I17" s="353" t="str">
        <f>IF(H17&lt;=1.33,"D+",IF(H17&lt;=1.66,"C-",IF(H17&lt;=2,"C",IF(H17&lt;=2.33,"C+",IF(H17&lt;=2.66,"B-",IF(H17&lt;=3,"B",IF(H17&lt;=3.33,"B+",IF(H17&lt;3.66,"A-","A"))))))))</f>
        <v>A</v>
      </c>
      <c r="J17" s="602">
        <f>VLOOKUP($Q$6,B.ind!$B$14:$L$53,8)</f>
        <v>3.36</v>
      </c>
      <c r="K17" s="598">
        <f t="shared" ref="K17" si="3">J17/0.04</f>
        <v>84</v>
      </c>
      <c r="L17" s="604" t="str">
        <f>VLOOKUP(J17,Kon!$B$1:$C$101,2)</f>
        <v>B+</v>
      </c>
      <c r="M17" s="631" t="str">
        <f>VLOOKUP($Q$6,B.ind!$B$14:$L$53,6)</f>
        <v>B</v>
      </c>
      <c r="N17" s="654"/>
      <c r="O17" s="155"/>
    </row>
    <row r="18" spans="2:15" ht="12" customHeight="1">
      <c r="B18" s="155"/>
      <c r="C18" s="632"/>
      <c r="D18" s="614" t="str">
        <f>"Guru  :  "&amp;DataGuru!D22</f>
        <v>Guru  :  Dra. Erdawati</v>
      </c>
      <c r="E18" s="615"/>
      <c r="F18" s="603" t="e">
        <f>VLOOKUP(Q12,AG!$B$14:$L$53,4)</f>
        <v>#N/A</v>
      </c>
      <c r="G18" s="599"/>
      <c r="H18" s="605"/>
      <c r="I18" s="354"/>
      <c r="J18" s="603" t="e">
        <f>VLOOKUP(T12,AG!$B$14:$L$53,4)</f>
        <v>#N/A</v>
      </c>
      <c r="K18" s="599"/>
      <c r="L18" s="605"/>
      <c r="M18" s="632" t="e">
        <f>VLOOKUP(V12,AG!$B$14:$L$53,4)</f>
        <v>#N/A</v>
      </c>
      <c r="N18" s="654"/>
      <c r="O18" s="155"/>
    </row>
    <row r="19" spans="2:15" ht="12" customHeight="1">
      <c r="B19" s="155"/>
      <c r="C19" s="631">
        <v>4</v>
      </c>
      <c r="D19" s="612" t="s">
        <v>15</v>
      </c>
      <c r="E19" s="613"/>
      <c r="F19" s="602">
        <f>VLOOKUP($Q$6,'Mat W'!$B$14:$L$53,7)</f>
        <v>3.64</v>
      </c>
      <c r="G19" s="598">
        <f t="shared" ref="G19" si="4">F19/0.04</f>
        <v>91</v>
      </c>
      <c r="H19" s="604" t="str">
        <f>VLOOKUP(F19,Kon!$B$1:$C$101,2)</f>
        <v>A-</v>
      </c>
      <c r="I19" s="353" t="str">
        <f>IF(H19&lt;=1.33,"D+",IF(H19&lt;=1.66,"C-",IF(H19&lt;=2,"C",IF(H19&lt;=2.33,"C+",IF(H19&lt;=2.66,"B-",IF(H19&lt;=3,"B",IF(H19&lt;=3.33,"B+",IF(H19&lt;3.66,"A-","A"))))))))</f>
        <v>A</v>
      </c>
      <c r="J19" s="602">
        <f>VLOOKUP($Q$6,'Mat W'!$B$14:$L$53,8)</f>
        <v>3.4</v>
      </c>
      <c r="K19" s="598">
        <f t="shared" ref="K19" si="5">J19/0.04</f>
        <v>85</v>
      </c>
      <c r="L19" s="604" t="str">
        <f>VLOOKUP(J19,Kon!$B$1:$C$101,2)</f>
        <v>B+</v>
      </c>
      <c r="M19" s="631" t="str">
        <f>VLOOKUP($Q$6,'Mat W'!$B$14:$L$53,6)</f>
        <v>B</v>
      </c>
      <c r="N19" s="654"/>
      <c r="O19" s="155"/>
    </row>
    <row r="20" spans="2:15" ht="12" customHeight="1">
      <c r="B20" s="155"/>
      <c r="C20" s="632"/>
      <c r="D20" s="614" t="str">
        <f>"Guru  :  "&amp;DataGuru!D23</f>
        <v>Guru  :  Lili Yulianti, S.Pd</v>
      </c>
      <c r="E20" s="615"/>
      <c r="F20" s="603" t="e">
        <f>VLOOKUP(Q14,AG!$B$14:$L$53,4)</f>
        <v>#N/A</v>
      </c>
      <c r="G20" s="599"/>
      <c r="H20" s="605"/>
      <c r="I20" s="354"/>
      <c r="J20" s="603" t="e">
        <f>VLOOKUP(T14,AG!$B$14:$L$53,4)</f>
        <v>#N/A</v>
      </c>
      <c r="K20" s="599"/>
      <c r="L20" s="605"/>
      <c r="M20" s="632" t="e">
        <f>VLOOKUP(V14,AG!$B$14:$L$53,4)</f>
        <v>#N/A</v>
      </c>
      <c r="N20" s="654"/>
      <c r="O20" s="155"/>
    </row>
    <row r="21" spans="2:15" ht="12" customHeight="1">
      <c r="B21" s="155"/>
      <c r="C21" s="631">
        <v>5</v>
      </c>
      <c r="D21" s="612" t="s">
        <v>210</v>
      </c>
      <c r="E21" s="613"/>
      <c r="F21" s="602">
        <f>VLOOKUP($Q$6,Sej!$B$14:$L$53,7)</f>
        <v>3.36</v>
      </c>
      <c r="G21" s="598">
        <f t="shared" ref="G21" si="6">F21/0.04</f>
        <v>84</v>
      </c>
      <c r="H21" s="604" t="str">
        <f>VLOOKUP(F21,Kon!$B$1:$C$101,2)</f>
        <v>B+</v>
      </c>
      <c r="I21" s="353" t="str">
        <f>IF(H21&lt;=1.33,"D+",IF(H21&lt;=1.66,"C-",IF(H21&lt;=2,"C",IF(H21&lt;=2.33,"C+",IF(H21&lt;=2.66,"B-",IF(H21&lt;=3,"B",IF(H21&lt;=3.33,"B+",IF(H21&lt;3.66,"A-","A"))))))))</f>
        <v>A</v>
      </c>
      <c r="J21" s="602">
        <f>VLOOKUP($Q$6,Sej!$B$14:$L$53,8)</f>
        <v>3.4</v>
      </c>
      <c r="K21" s="598">
        <f t="shared" ref="K21" si="7">J21/0.04</f>
        <v>85</v>
      </c>
      <c r="L21" s="604" t="str">
        <f>VLOOKUP(J21,Kon!$B$1:$C$101,2)</f>
        <v>B+</v>
      </c>
      <c r="M21" s="631" t="str">
        <f>VLOOKUP($Q$6,Sej!$B$14:$L$53,6)</f>
        <v>B</v>
      </c>
      <c r="N21" s="654"/>
      <c r="O21" s="155"/>
    </row>
    <row r="22" spans="2:15" ht="12" customHeight="1">
      <c r="B22" s="155"/>
      <c r="C22" s="632"/>
      <c r="D22" s="614" t="str">
        <f>"Guru  :  "&amp;DataGuru!D24</f>
        <v>Guru  :  Drs. Alfurqan, M.Pd</v>
      </c>
      <c r="E22" s="615"/>
      <c r="F22" s="603" t="e">
        <f>VLOOKUP(Q16,AG!$B$14:$L$53,4)</f>
        <v>#N/A</v>
      </c>
      <c r="G22" s="599"/>
      <c r="H22" s="605"/>
      <c r="I22" s="354"/>
      <c r="J22" s="603" t="e">
        <f>VLOOKUP(T16,AG!$B$14:$L$53,4)</f>
        <v>#N/A</v>
      </c>
      <c r="K22" s="599"/>
      <c r="L22" s="605"/>
      <c r="M22" s="632" t="e">
        <f>VLOOKUP(V16,AG!$B$14:$L$53,4)</f>
        <v>#N/A</v>
      </c>
      <c r="N22" s="654"/>
      <c r="O22" s="155"/>
    </row>
    <row r="23" spans="2:15" ht="12" customHeight="1">
      <c r="B23" s="155"/>
      <c r="C23" s="631">
        <v>6</v>
      </c>
      <c r="D23" s="612" t="s">
        <v>44</v>
      </c>
      <c r="E23" s="613"/>
      <c r="F23" s="602">
        <f>VLOOKUP($Q$6,B.Ing!$B$14:$L$53,7)</f>
        <v>3.44</v>
      </c>
      <c r="G23" s="598">
        <f t="shared" ref="G23" si="8">F23/0.04</f>
        <v>86</v>
      </c>
      <c r="H23" s="604" t="str">
        <f>VLOOKUP(F23,Kon!$B$1:$C$101,2)</f>
        <v>B+</v>
      </c>
      <c r="I23" s="353" t="str">
        <f>IF(H23&lt;=1.33,"D+",IF(H23&lt;=1.66,"C-",IF(H23&lt;=2,"C",IF(H23&lt;=2.33,"C+",IF(H23&lt;=2.66,"B-",IF(H23&lt;=3,"B",IF(H23&lt;=3.33,"B+",IF(H23&lt;3.66,"A-","A"))))))))</f>
        <v>A</v>
      </c>
      <c r="J23" s="602">
        <f>VLOOKUP($Q$6,B.Ing!$B$14:$L$53,8)</f>
        <v>3.36</v>
      </c>
      <c r="K23" s="598">
        <f t="shared" ref="K23" si="9">J23/0.04</f>
        <v>84</v>
      </c>
      <c r="L23" s="604" t="str">
        <f>VLOOKUP(J23,Kon!$B$1:$C$101,2)</f>
        <v>B+</v>
      </c>
      <c r="M23" s="631" t="str">
        <f>VLOOKUP($Q$6,B.Ing!$B$14:$L$53,6)</f>
        <v>B</v>
      </c>
      <c r="N23" s="654"/>
      <c r="O23" s="155"/>
    </row>
    <row r="24" spans="2:15" ht="12" customHeight="1">
      <c r="B24" s="155"/>
      <c r="C24" s="632"/>
      <c r="D24" s="614" t="str">
        <f>"Guru  :  "&amp;DataGuru!D25</f>
        <v>Guru  :  Darmina, S.Pd</v>
      </c>
      <c r="E24" s="615"/>
      <c r="F24" s="603" t="e">
        <f>VLOOKUP(Q18,AG!$B$14:$L$53,4)</f>
        <v>#N/A</v>
      </c>
      <c r="G24" s="599"/>
      <c r="H24" s="605"/>
      <c r="I24" s="354"/>
      <c r="J24" s="603" t="e">
        <f>VLOOKUP(T18,AG!$B$14:$L$53,4)</f>
        <v>#N/A</v>
      </c>
      <c r="K24" s="599"/>
      <c r="L24" s="605"/>
      <c r="M24" s="632" t="e">
        <f>VLOOKUP(V18,AG!$B$14:$L$53,4)</f>
        <v>#N/A</v>
      </c>
      <c r="N24" s="654"/>
      <c r="O24" s="155"/>
    </row>
    <row r="25" spans="2:15" ht="15" customHeight="1">
      <c r="B25" s="155"/>
      <c r="C25" s="355" t="s">
        <v>199</v>
      </c>
      <c r="D25" s="349"/>
      <c r="E25" s="349"/>
      <c r="F25" s="356"/>
      <c r="G25" s="356"/>
      <c r="H25" s="357"/>
      <c r="I25" s="357"/>
      <c r="J25" s="357"/>
      <c r="K25" s="357"/>
      <c r="L25" s="357"/>
      <c r="M25" s="357"/>
      <c r="N25" s="654"/>
      <c r="O25" s="155"/>
    </row>
    <row r="26" spans="2:15" ht="12" customHeight="1">
      <c r="B26" s="155"/>
      <c r="C26" s="631">
        <v>1</v>
      </c>
      <c r="D26" s="612" t="s">
        <v>16</v>
      </c>
      <c r="E26" s="613"/>
      <c r="F26" s="602">
        <f>VLOOKUP($Q$6,Seni!$B$14:$L$53,7)</f>
        <v>3.4</v>
      </c>
      <c r="G26" s="598">
        <f>F26/0.04</f>
        <v>85</v>
      </c>
      <c r="H26" s="604" t="str">
        <f>VLOOKUP(F26,Kon!$B$1:$C$101,2)</f>
        <v>B+</v>
      </c>
      <c r="I26" s="353" t="str">
        <f>IF(H26&lt;=1.33,"D+",IF(H26&lt;=1.66,"C-",IF(H26&lt;=2,"C",IF(H26&lt;=2.33,"C+",IF(H26&lt;=2.66,"B-",IF(H26&lt;=3,"B",IF(H26&lt;=3.33,"B+",IF(H26&lt;3.66,"A-","A"))))))))</f>
        <v>A</v>
      </c>
      <c r="J26" s="602">
        <f>VLOOKUP($Q$6,Seni!$B$14:$L$53,8)</f>
        <v>3.44</v>
      </c>
      <c r="K26" s="598">
        <f>J26/0.04</f>
        <v>86</v>
      </c>
      <c r="L26" s="604" t="str">
        <f>VLOOKUP(J26,Kon!$B$1:$C$101,2)</f>
        <v>B+</v>
      </c>
      <c r="M26" s="631" t="str">
        <f>VLOOKUP($Q$6,Seni!$B$14:$L$53,6)</f>
        <v>B</v>
      </c>
      <c r="N26" s="654"/>
      <c r="O26" s="155"/>
    </row>
    <row r="27" spans="2:15" ht="12" customHeight="1">
      <c r="B27" s="155"/>
      <c r="C27" s="632"/>
      <c r="D27" s="614" t="str">
        <f>"Guru  :  "&amp;DataGuru!D26</f>
        <v>Guru  :  Ismanilda, S.Pd</v>
      </c>
      <c r="E27" s="615"/>
      <c r="F27" s="603" t="e">
        <f>VLOOKUP(Q21,AG!$B$14:$L$53,4)</f>
        <v>#N/A</v>
      </c>
      <c r="G27" s="599"/>
      <c r="H27" s="605"/>
      <c r="I27" s="354"/>
      <c r="J27" s="603" t="e">
        <f>VLOOKUP(T21,AG!$B$14:$L$53,4)</f>
        <v>#N/A</v>
      </c>
      <c r="K27" s="599"/>
      <c r="L27" s="605"/>
      <c r="M27" s="632" t="e">
        <f>VLOOKUP(V21,AG!$B$14:$L$53,4)</f>
        <v>#N/A</v>
      </c>
      <c r="N27" s="654"/>
      <c r="O27" s="155"/>
    </row>
    <row r="28" spans="2:15" ht="12" customHeight="1">
      <c r="B28" s="155"/>
      <c r="C28" s="631">
        <v>2</v>
      </c>
      <c r="D28" s="627" t="s">
        <v>288</v>
      </c>
      <c r="E28" s="628"/>
      <c r="F28" s="602">
        <f>VLOOKUP($Q$6,Jas!$B$14:$L$53,7)</f>
        <v>3.44</v>
      </c>
      <c r="G28" s="598">
        <f t="shared" ref="G28" si="10">F28/0.04</f>
        <v>86</v>
      </c>
      <c r="H28" s="604" t="str">
        <f>VLOOKUP(F28,Kon!$B$1:$C$101,2)</f>
        <v>B+</v>
      </c>
      <c r="I28" s="353"/>
      <c r="J28" s="602">
        <f>VLOOKUP($Q$6,Jas!$B$14:$L$53,8)</f>
        <v>3.48</v>
      </c>
      <c r="K28" s="598">
        <f t="shared" ref="K28" si="11">J28/0.04</f>
        <v>87</v>
      </c>
      <c r="L28" s="604" t="str">
        <f>VLOOKUP(J28,Kon!$B$1:$C$101,2)</f>
        <v>B+</v>
      </c>
      <c r="M28" s="631" t="str">
        <f>VLOOKUP($Q$6,Jas!$B$14:$L$53,6)</f>
        <v>B</v>
      </c>
      <c r="N28" s="654"/>
      <c r="O28" s="155"/>
    </row>
    <row r="29" spans="2:15" ht="12" customHeight="1">
      <c r="B29" s="155"/>
      <c r="C29" s="632"/>
      <c r="D29" s="614" t="str">
        <f>"Guru  :  "&amp;DataGuru!D27</f>
        <v>Guru  :  Zirfan Efendi, S.Pd</v>
      </c>
      <c r="E29" s="615"/>
      <c r="F29" s="603" t="e">
        <f>VLOOKUP(Q23,AG!$B$14:$L$53,4)</f>
        <v>#N/A</v>
      </c>
      <c r="G29" s="599"/>
      <c r="H29" s="605"/>
      <c r="I29" s="354"/>
      <c r="J29" s="603" t="e">
        <f>VLOOKUP(T23,AG!$B$14:$L$53,4)</f>
        <v>#N/A</v>
      </c>
      <c r="K29" s="599"/>
      <c r="L29" s="605"/>
      <c r="M29" s="632" t="e">
        <f>VLOOKUP(V23,AG!$B$14:$L$53,4)</f>
        <v>#N/A</v>
      </c>
      <c r="N29" s="654"/>
      <c r="O29" s="155"/>
    </row>
    <row r="30" spans="2:15" ht="12" customHeight="1">
      <c r="B30" s="155"/>
      <c r="C30" s="631">
        <v>3</v>
      </c>
      <c r="D30" s="612" t="s">
        <v>212</v>
      </c>
      <c r="E30" s="613"/>
      <c r="F30" s="602">
        <f>VLOOKUP($Q$6,Pra!$B$14:$L$53,7)</f>
        <v>3.56</v>
      </c>
      <c r="G30" s="598">
        <f t="shared" ref="G30" si="12">F30/0.04</f>
        <v>89</v>
      </c>
      <c r="H30" s="604" t="str">
        <f>VLOOKUP(F30,Kon!$B$1:$C$101,2)</f>
        <v>A-</v>
      </c>
      <c r="I30" s="353" t="str">
        <f>IF(H30&lt;=1.33,"D+",IF(H30&lt;=1.66,"C-",IF(H30&lt;=2,"C",IF(H30&lt;=2.33,"C+",IF(H30&lt;=2.66,"B-",IF(H30&lt;=3,"B",IF(H30&lt;=3.33,"B+",IF(H30&lt;3.66,"A-","A"))))))))</f>
        <v>A</v>
      </c>
      <c r="J30" s="602">
        <f>VLOOKUP($Q$6,Pra!$B$14:$L$53,8)</f>
        <v>3.6</v>
      </c>
      <c r="K30" s="598">
        <f t="shared" ref="K30" si="13">J30/0.04</f>
        <v>90</v>
      </c>
      <c r="L30" s="604" t="str">
        <f>VLOOKUP(J30,Kon!$B$1:$C$101,2)</f>
        <v>A-</v>
      </c>
      <c r="M30" s="631" t="str">
        <f>VLOOKUP($Q$6,Pra!$B$14:$L$53,6)</f>
        <v>SB</v>
      </c>
      <c r="N30" s="654"/>
      <c r="O30" s="155"/>
    </row>
    <row r="31" spans="2:15" ht="12" customHeight="1">
      <c r="B31" s="155"/>
      <c r="C31" s="632"/>
      <c r="D31" s="614" t="str">
        <f>"Guru  :  "&amp;DataGuru!D28</f>
        <v>Guru  :  Dra. Ernawati</v>
      </c>
      <c r="E31" s="615"/>
      <c r="F31" s="603" t="e">
        <f>VLOOKUP(Q25,AG!$B$14:$L$53,4)</f>
        <v>#N/A</v>
      </c>
      <c r="G31" s="599"/>
      <c r="H31" s="605"/>
      <c r="I31" s="354"/>
      <c r="J31" s="603" t="e">
        <f>VLOOKUP(T25,AG!$B$14:$L$53,4)</f>
        <v>#N/A</v>
      </c>
      <c r="K31" s="599"/>
      <c r="L31" s="605"/>
      <c r="M31" s="632" t="e">
        <f>VLOOKUP(V25,AG!$B$14:$L$53,4)</f>
        <v>#N/A</v>
      </c>
      <c r="N31" s="654"/>
      <c r="O31" s="155"/>
    </row>
    <row r="32" spans="2:15" ht="19.5" customHeight="1">
      <c r="B32" s="155"/>
      <c r="C32" s="355" t="s">
        <v>200</v>
      </c>
      <c r="D32" s="357"/>
      <c r="E32" s="357"/>
      <c r="F32" s="356"/>
      <c r="G32" s="356"/>
      <c r="H32" s="358"/>
      <c r="I32" s="358"/>
      <c r="J32" s="358"/>
      <c r="K32" s="358"/>
      <c r="L32" s="358"/>
      <c r="M32" s="358"/>
      <c r="N32" s="654"/>
      <c r="O32" s="155"/>
    </row>
    <row r="33" spans="2:15" ht="16.5" customHeight="1">
      <c r="B33" s="155"/>
      <c r="C33" s="359"/>
      <c r="D33" s="360" t="s">
        <v>370</v>
      </c>
      <c r="E33" s="360"/>
      <c r="F33" s="361"/>
      <c r="G33" s="361"/>
      <c r="H33" s="362"/>
      <c r="I33" s="362"/>
      <c r="J33" s="362"/>
      <c r="K33" s="362"/>
      <c r="L33" s="362"/>
      <c r="M33" s="362"/>
      <c r="N33" s="654"/>
      <c r="O33" s="155"/>
    </row>
    <row r="34" spans="2:15" ht="12" customHeight="1">
      <c r="B34" s="155"/>
      <c r="C34" s="631">
        <v>1</v>
      </c>
      <c r="D34" s="612" t="str">
        <f>IF(DataGuru!C30="",""," "&amp;DataGuru!C30)</f>
        <v xml:space="preserve"> Matematika</v>
      </c>
      <c r="E34" s="613"/>
      <c r="F34" s="602">
        <f>VLOOKUP($Q$6,'Mat P'!$B$14:$L$53,7)</f>
        <v>3.44</v>
      </c>
      <c r="G34" s="598">
        <f>F34/0.04</f>
        <v>86</v>
      </c>
      <c r="H34" s="604" t="str">
        <f>VLOOKUP(F34,Kon!$B$1:$C$101,2)</f>
        <v>B+</v>
      </c>
      <c r="I34" s="633" t="e">
        <f>VLOOKUP(H34,Kon!$B$1:$C$101,2)</f>
        <v>#N/A</v>
      </c>
      <c r="J34" s="602">
        <f>VLOOKUP($Q$6,'Mat P'!$B$14:$L$53,8)</f>
        <v>3.44</v>
      </c>
      <c r="K34" s="598">
        <f>J34/0.04</f>
        <v>86</v>
      </c>
      <c r="L34" s="604" t="str">
        <f>VLOOKUP(J34,Kon!$B$1:$C$101,2)</f>
        <v>B+</v>
      </c>
      <c r="M34" s="631" t="str">
        <f>VLOOKUP($Q$6,'Mat P'!$B$14:$L$53,6)</f>
        <v>B</v>
      </c>
      <c r="N34" s="654"/>
      <c r="O34" s="155"/>
    </row>
    <row r="35" spans="2:15" ht="12" customHeight="1">
      <c r="B35" s="155"/>
      <c r="C35" s="643"/>
      <c r="D35" s="614" t="str">
        <f>IF(DataGuru!$D$30="",""," "&amp;"Guru  :  "&amp;DataGuru!$D$30)</f>
        <v xml:space="preserve"> Guru  :  Dra. Edvirianis</v>
      </c>
      <c r="E35" s="615"/>
      <c r="F35" s="603" t="e">
        <f>VLOOKUP(Q28,AG!$B$14:$L$53,4)</f>
        <v>#N/A</v>
      </c>
      <c r="G35" s="599"/>
      <c r="H35" s="605"/>
      <c r="I35" s="634"/>
      <c r="J35" s="603" t="e">
        <f>VLOOKUP(T28,AG!$B$14:$L$53,4)</f>
        <v>#N/A</v>
      </c>
      <c r="K35" s="599"/>
      <c r="L35" s="605"/>
      <c r="M35" s="632" t="e">
        <f>VLOOKUP(V28,AG!$B$14:$L$53,4)</f>
        <v>#N/A</v>
      </c>
      <c r="N35" s="654"/>
      <c r="O35" s="155"/>
    </row>
    <row r="36" spans="2:15" ht="12" customHeight="1">
      <c r="B36" s="155"/>
      <c r="C36" s="631">
        <v>2</v>
      </c>
      <c r="D36" s="612" t="str">
        <f>IF(DataGuru!C31="",""," "&amp;DataGuru!C31)</f>
        <v xml:space="preserve"> Biologi</v>
      </c>
      <c r="E36" s="613"/>
      <c r="F36" s="602">
        <f>VLOOKUP($Q$6,Bio!$B$14:$L$53,7)</f>
        <v>3.48</v>
      </c>
      <c r="G36" s="598">
        <f t="shared" ref="G36" si="14">F36/0.04</f>
        <v>87</v>
      </c>
      <c r="H36" s="604" t="str">
        <f>VLOOKUP(F36,Kon!$B$1:$C$101,2)</f>
        <v>B+</v>
      </c>
      <c r="I36" s="633" t="e">
        <f>VLOOKUP(H36,Kon!$B$1:$C$101,2)</f>
        <v>#N/A</v>
      </c>
      <c r="J36" s="602">
        <f>VLOOKUP($Q$6,Bio!$B$14:$L$53,8)</f>
        <v>3.44</v>
      </c>
      <c r="K36" s="598">
        <f t="shared" ref="K36" si="15">J36/0.04</f>
        <v>86</v>
      </c>
      <c r="L36" s="604" t="str">
        <f>VLOOKUP(J36,Kon!$B$1:$C$101,2)</f>
        <v>B+</v>
      </c>
      <c r="M36" s="631" t="str">
        <f>VLOOKUP($Q$6,Bio!$B$14:$L$53,6)</f>
        <v>B</v>
      </c>
      <c r="N36" s="654"/>
      <c r="O36" s="155"/>
    </row>
    <row r="37" spans="2:15" ht="12" customHeight="1">
      <c r="B37" s="155"/>
      <c r="C37" s="643"/>
      <c r="D37" s="614" t="str">
        <f>IF(DataGuru!$D$31="",""," "&amp;"Guru  :  "&amp;DataGuru!$D$31)</f>
        <v xml:space="preserve"> Guru  :  Dra. Neng Mulyetti</v>
      </c>
      <c r="E37" s="615"/>
      <c r="F37" s="603" t="e">
        <f>VLOOKUP(Q30,AG!$B$14:$L$53,4)</f>
        <v>#N/A</v>
      </c>
      <c r="G37" s="599"/>
      <c r="H37" s="605"/>
      <c r="I37" s="634"/>
      <c r="J37" s="603" t="e">
        <f>VLOOKUP(T30,AG!$B$14:$L$53,4)</f>
        <v>#N/A</v>
      </c>
      <c r="K37" s="599"/>
      <c r="L37" s="605"/>
      <c r="M37" s="632" t="e">
        <f>VLOOKUP(V30,AG!$B$14:$L$53,4)</f>
        <v>#N/A</v>
      </c>
      <c r="N37" s="654"/>
      <c r="O37" s="155"/>
    </row>
    <row r="38" spans="2:15" ht="12" customHeight="1">
      <c r="B38" s="155"/>
      <c r="C38" s="631">
        <v>3</v>
      </c>
      <c r="D38" s="612" t="str">
        <f>IF(DataGuru!C32="",""," "&amp;DataGuru!C32)</f>
        <v xml:space="preserve"> Fisika</v>
      </c>
      <c r="E38" s="613"/>
      <c r="F38" s="602">
        <f>VLOOKUP($Q$6,Fis!$B$14:$L$53,7)</f>
        <v>3.32</v>
      </c>
      <c r="G38" s="598">
        <f t="shared" ref="G38" si="16">F38/0.04</f>
        <v>83</v>
      </c>
      <c r="H38" s="604" t="str">
        <f>VLOOKUP(F38,Kon!$B$1:$C$101,2)</f>
        <v>B+</v>
      </c>
      <c r="I38" s="633" t="e">
        <f>VLOOKUP(H38,Kon!$B$1:$C$101,2)</f>
        <v>#N/A</v>
      </c>
      <c r="J38" s="602">
        <f>VLOOKUP($Q$6,Fis!$B$14:$L$53,8)</f>
        <v>3.4</v>
      </c>
      <c r="K38" s="598">
        <f t="shared" ref="K38" si="17">J38/0.04</f>
        <v>85</v>
      </c>
      <c r="L38" s="604" t="str">
        <f>VLOOKUP(J38,Kon!$B$1:$C$101,2)</f>
        <v>B+</v>
      </c>
      <c r="M38" s="631" t="str">
        <f>VLOOKUP($Q$6,Fis!$B$14:$L$53,6)</f>
        <v>B</v>
      </c>
      <c r="N38" s="654"/>
      <c r="O38" s="155"/>
    </row>
    <row r="39" spans="2:15" ht="12" customHeight="1">
      <c r="B39" s="155"/>
      <c r="C39" s="643"/>
      <c r="D39" s="614" t="str">
        <f>IF(DataGuru!$D$32="",""," "&amp;"Guru  :  "&amp;DataGuru!$D$32)</f>
        <v xml:space="preserve"> Guru  :  Drs. Asrul Rivai, MM</v>
      </c>
      <c r="E39" s="615"/>
      <c r="F39" s="603" t="e">
        <f>VLOOKUP(Q32,AG!$B$14:$L$53,4)</f>
        <v>#N/A</v>
      </c>
      <c r="G39" s="599"/>
      <c r="H39" s="605"/>
      <c r="I39" s="634"/>
      <c r="J39" s="603" t="e">
        <f>VLOOKUP(T32,AG!$B$14:$L$53,4)</f>
        <v>#N/A</v>
      </c>
      <c r="K39" s="599"/>
      <c r="L39" s="605"/>
      <c r="M39" s="632" t="e">
        <f>VLOOKUP(V32,AG!$B$14:$L$53,4)</f>
        <v>#N/A</v>
      </c>
      <c r="N39" s="654"/>
      <c r="O39" s="155"/>
    </row>
    <row r="40" spans="2:15" ht="12" customHeight="1">
      <c r="B40" s="155"/>
      <c r="C40" s="631">
        <v>4</v>
      </c>
      <c r="D40" s="612" t="str">
        <f>IF(DataGuru!C33="",""," "&amp;DataGuru!C33)</f>
        <v xml:space="preserve"> Kimia</v>
      </c>
      <c r="E40" s="613"/>
      <c r="F40" s="602">
        <f>VLOOKUP($Q$6,Kim!$B$14:$L$53,7)</f>
        <v>3.32</v>
      </c>
      <c r="G40" s="598">
        <f t="shared" ref="G40" si="18">F40/0.04</f>
        <v>83</v>
      </c>
      <c r="H40" s="604" t="str">
        <f>VLOOKUP(F40,Kon!$B$1:$C$101,2)</f>
        <v>B+</v>
      </c>
      <c r="I40" s="633" t="e">
        <f>VLOOKUP(H40,Kon!$B$1:$C$101,2)</f>
        <v>#N/A</v>
      </c>
      <c r="J40" s="602">
        <f>VLOOKUP($Q$6,Kim!$B$14:$L$53,8)</f>
        <v>3.36</v>
      </c>
      <c r="K40" s="598">
        <f t="shared" ref="K40" si="19">J40/0.04</f>
        <v>84</v>
      </c>
      <c r="L40" s="604" t="str">
        <f>VLOOKUP(J40,Kon!$B$1:$C$101,2)</f>
        <v>B+</v>
      </c>
      <c r="M40" s="631" t="str">
        <f>VLOOKUP($Q$6,Kim!$B$14:$L$53,6)</f>
        <v>SB</v>
      </c>
      <c r="N40" s="654"/>
      <c r="O40" s="155"/>
    </row>
    <row r="41" spans="2:15" ht="12" customHeight="1">
      <c r="B41" s="155"/>
      <c r="C41" s="632"/>
      <c r="D41" s="614" t="str">
        <f>IF(DataGuru!$D$33="",""," "&amp;"Guru  :  "&amp;DataGuru!$D$33)</f>
        <v xml:space="preserve"> Guru  :  Ernella, S.Pd</v>
      </c>
      <c r="E41" s="615"/>
      <c r="F41" s="603" t="e">
        <f>VLOOKUP(Q35,AG!$B$14:$L$53,4)</f>
        <v>#N/A</v>
      </c>
      <c r="G41" s="599"/>
      <c r="H41" s="605"/>
      <c r="I41" s="634"/>
      <c r="J41" s="603" t="e">
        <f>VLOOKUP(T35,AG!$B$14:$L$53,4)</f>
        <v>#N/A</v>
      </c>
      <c r="K41" s="599"/>
      <c r="L41" s="605"/>
      <c r="M41" s="632" t="e">
        <f>VLOOKUP(V35,AG!$B$14:$L$53,4)</f>
        <v>#N/A</v>
      </c>
      <c r="N41" s="654"/>
      <c r="O41" s="155"/>
    </row>
    <row r="42" spans="2:15" ht="16.5" customHeight="1">
      <c r="B42" s="155"/>
      <c r="C42" s="363"/>
      <c r="D42" s="364" t="s">
        <v>254</v>
      </c>
      <c r="E42" s="365"/>
      <c r="F42" s="366"/>
      <c r="G42" s="366"/>
      <c r="H42" s="367"/>
      <c r="I42" s="367"/>
      <c r="J42" s="366"/>
      <c r="K42" s="366"/>
      <c r="L42" s="366"/>
      <c r="M42" s="368"/>
      <c r="N42" s="654"/>
      <c r="O42" s="155"/>
    </row>
    <row r="43" spans="2:15" ht="12" customHeight="1">
      <c r="B43" s="155"/>
      <c r="C43" s="631">
        <v>1</v>
      </c>
      <c r="D43" s="658" t="str">
        <f>IF(DataGuru!C35="",""," "&amp;DataGuru!C35)</f>
        <v xml:space="preserve"> Ekonomi</v>
      </c>
      <c r="E43" s="659"/>
      <c r="F43" s="602">
        <f>VLOOKUP($Q$6,'Eko (LM)'!$B$14:$L$53,7)</f>
        <v>3.52</v>
      </c>
      <c r="G43" s="598">
        <f>F43/0.04</f>
        <v>88</v>
      </c>
      <c r="H43" s="604" t="str">
        <f>VLOOKUP(F43,Kon!$B$1:$C$101,2)</f>
        <v>A-</v>
      </c>
      <c r="I43" s="633" t="e">
        <f>VLOOKUP(H43,Kon!$B$1:$C$101,2)</f>
        <v>#N/A</v>
      </c>
      <c r="J43" s="602">
        <f>VLOOKUP($Q$6,'Eko (LM)'!$B$14:$L$53,8)</f>
        <v>3.52</v>
      </c>
      <c r="K43" s="598">
        <f>J43/0.04</f>
        <v>88</v>
      </c>
      <c r="L43" s="604" t="str">
        <f>VLOOKUP(J43,Kon!$B$1:$C$101,2)</f>
        <v>A-</v>
      </c>
      <c r="M43" s="631" t="str">
        <f>VLOOKUP($Q$6,'Eko (LM)'!$B$14:$L$53,6)</f>
        <v>SB</v>
      </c>
      <c r="N43" s="654"/>
      <c r="O43" s="155"/>
    </row>
    <row r="44" spans="2:15" ht="12" customHeight="1">
      <c r="B44" s="155"/>
      <c r="C44" s="632"/>
      <c r="D44" s="667" t="str">
        <f>IF(DataGuru!$D$35="",""," "&amp;"Guru  :  "&amp;DataGuru!$D$35)</f>
        <v xml:space="preserve"> Guru  :  Hudzaifah, S.Pd, MM</v>
      </c>
      <c r="E44" s="668"/>
      <c r="F44" s="603" t="e">
        <f>VLOOKUP(Q31,AG!$B$14:$L$53,4)</f>
        <v>#N/A</v>
      </c>
      <c r="G44" s="599"/>
      <c r="H44" s="605"/>
      <c r="I44" s="634"/>
      <c r="J44" s="603" t="e">
        <f>VLOOKUP(T31,AG!$B$14:$L$53,4)</f>
        <v>#N/A</v>
      </c>
      <c r="K44" s="599"/>
      <c r="L44" s="605"/>
      <c r="M44" s="632" t="e">
        <f>VLOOKUP(V31,AG!$B$14:$L$53,4)</f>
        <v>#N/A</v>
      </c>
      <c r="N44" s="654"/>
      <c r="O44" s="155"/>
    </row>
    <row r="45" spans="2:15" ht="12" customHeight="1">
      <c r="B45" s="155"/>
      <c r="C45" s="631">
        <v>2</v>
      </c>
      <c r="D45" s="658" t="str">
        <f>IF(DataGuru!C36="",""," "&amp;DataGuru!C36)</f>
        <v xml:space="preserve"> -</v>
      </c>
      <c r="E45" s="659"/>
      <c r="F45" s="602"/>
      <c r="G45" s="465"/>
      <c r="H45" s="604"/>
      <c r="I45" s="633"/>
      <c r="J45" s="602"/>
      <c r="K45" s="465"/>
      <c r="L45" s="604"/>
      <c r="M45" s="631"/>
      <c r="N45" s="654"/>
      <c r="O45" s="155"/>
    </row>
    <row r="46" spans="2:15" ht="12" customHeight="1">
      <c r="B46" s="155"/>
      <c r="C46" s="632"/>
      <c r="D46" s="667" t="str">
        <f>IF(DataGuru!D36="",""," "&amp;"Guru  :  "&amp;DataGuru!D36)</f>
        <v/>
      </c>
      <c r="E46" s="668"/>
      <c r="F46" s="603"/>
      <c r="G46" s="466"/>
      <c r="H46" s="605"/>
      <c r="I46" s="634"/>
      <c r="J46" s="603"/>
      <c r="K46" s="466"/>
      <c r="L46" s="605"/>
      <c r="M46" s="632"/>
      <c r="N46" s="655"/>
      <c r="O46" s="155"/>
    </row>
    <row r="47" spans="2:15" ht="12" customHeight="1">
      <c r="B47" s="155"/>
      <c r="C47" s="373"/>
      <c r="D47" s="374"/>
      <c r="E47" s="374"/>
      <c r="F47" s="375"/>
      <c r="G47" s="375"/>
      <c r="H47" s="376"/>
      <c r="I47" s="376"/>
      <c r="J47" s="375"/>
      <c r="K47" s="375"/>
      <c r="L47" s="375"/>
      <c r="M47" s="375"/>
      <c r="N47" s="377"/>
      <c r="O47" s="155"/>
    </row>
    <row r="48" spans="2:15" ht="22.5" customHeight="1">
      <c r="B48" s="155"/>
      <c r="C48" s="622" t="s">
        <v>294</v>
      </c>
      <c r="D48" s="623"/>
      <c r="E48" s="624"/>
      <c r="F48" s="622" t="s">
        <v>201</v>
      </c>
      <c r="G48" s="623"/>
      <c r="H48" s="623"/>
      <c r="I48" s="623"/>
      <c r="J48" s="623"/>
      <c r="K48" s="623"/>
      <c r="L48" s="623"/>
      <c r="M48" s="623"/>
      <c r="N48" s="624"/>
      <c r="O48" s="155"/>
    </row>
    <row r="49" spans="2:15" ht="24.95" customHeight="1">
      <c r="B49" s="155"/>
      <c r="C49" s="378">
        <v>1</v>
      </c>
      <c r="D49" s="625" t="str">
        <f>VLOOKUP($Q$6,Ekskur!$A$5:$M$44,6)</f>
        <v>Pramuka</v>
      </c>
      <c r="E49" s="626"/>
      <c r="F49" s="664" t="str">
        <f>VLOOKUP(Q6,Ekskur!$A$5:$M$44,7)</f>
        <v>Baik, aktif dalam kegiatan rutin</v>
      </c>
      <c r="G49" s="665"/>
      <c r="H49" s="665"/>
      <c r="I49" s="665"/>
      <c r="J49" s="665"/>
      <c r="K49" s="665"/>
      <c r="L49" s="665"/>
      <c r="M49" s="665"/>
      <c r="N49" s="666"/>
      <c r="O49" s="155"/>
    </row>
    <row r="50" spans="2:15" ht="24.95" customHeight="1">
      <c r="B50" s="155"/>
      <c r="C50" s="378">
        <v>2</v>
      </c>
      <c r="D50" s="625" t="str">
        <f>VLOOKUP($Q$6,Ekskur!$A$5:$M$44,8)</f>
        <v>-</v>
      </c>
      <c r="E50" s="626"/>
      <c r="F50" s="664" t="str">
        <f>VLOOKUP($Q$6,Ekskur!$A$5:$M$44,9)</f>
        <v>-</v>
      </c>
      <c r="G50" s="665"/>
      <c r="H50" s="665"/>
      <c r="I50" s="665"/>
      <c r="J50" s="665"/>
      <c r="K50" s="665"/>
      <c r="L50" s="665"/>
      <c r="M50" s="665"/>
      <c r="N50" s="666"/>
      <c r="O50" s="155"/>
    </row>
    <row r="51" spans="2:15" ht="24.95" customHeight="1">
      <c r="B51" s="155"/>
      <c r="C51" s="378">
        <v>3</v>
      </c>
      <c r="D51" s="625" t="str">
        <f>VLOOKUP($Q$6,Ekskur!$A$5:$M$44,10)</f>
        <v>-</v>
      </c>
      <c r="E51" s="626"/>
      <c r="F51" s="606" t="str">
        <f>VLOOKUP($Q$6,Ekskur!$A$5:$M$44,11)</f>
        <v>-</v>
      </c>
      <c r="G51" s="607"/>
      <c r="H51" s="607"/>
      <c r="I51" s="607"/>
      <c r="J51" s="607"/>
      <c r="K51" s="607"/>
      <c r="L51" s="607"/>
      <c r="M51" s="607"/>
      <c r="N51" s="608"/>
      <c r="O51" s="155"/>
    </row>
    <row r="52" spans="2:15" ht="24.75" customHeight="1">
      <c r="B52" s="155"/>
      <c r="C52" s="378">
        <v>4</v>
      </c>
      <c r="D52" s="625" t="str">
        <f>VLOOKUP($Q$6,Ekskur!$A$5:$M$44,12)</f>
        <v>-</v>
      </c>
      <c r="E52" s="626"/>
      <c r="F52" s="606" t="str">
        <f>VLOOKUP($Q$6,Ekskur!$A$5:$M$44,13)</f>
        <v>-</v>
      </c>
      <c r="G52" s="607"/>
      <c r="H52" s="607"/>
      <c r="I52" s="607"/>
      <c r="J52" s="607"/>
      <c r="K52" s="607"/>
      <c r="L52" s="607"/>
      <c r="M52" s="607"/>
      <c r="N52" s="608"/>
      <c r="O52" s="155"/>
    </row>
    <row r="53" spans="2:15" ht="19.5" customHeight="1">
      <c r="B53" s="155"/>
      <c r="C53" s="379"/>
      <c r="D53" s="379"/>
      <c r="E53" s="379"/>
      <c r="F53" s="345"/>
      <c r="G53" s="345"/>
      <c r="H53" s="345"/>
      <c r="I53" s="379"/>
      <c r="J53" s="379"/>
      <c r="K53" s="379"/>
      <c r="L53" s="379"/>
      <c r="M53" s="379"/>
      <c r="N53" s="380"/>
      <c r="O53" s="155"/>
    </row>
    <row r="54" spans="2:15" ht="12" customHeight="1">
      <c r="B54" s="155"/>
      <c r="C54" s="381" t="s">
        <v>246</v>
      </c>
      <c r="D54" s="382"/>
      <c r="E54" s="383"/>
      <c r="F54" s="384"/>
      <c r="G54" s="467"/>
      <c r="H54" s="468"/>
      <c r="I54" s="385"/>
      <c r="J54" s="621"/>
      <c r="K54" s="621"/>
      <c r="L54" s="621"/>
      <c r="M54" s="621"/>
      <c r="N54" s="386"/>
      <c r="O54" s="155"/>
    </row>
    <row r="55" spans="2:15" ht="12" customHeight="1">
      <c r="B55" s="155"/>
      <c r="C55" s="378">
        <v>1</v>
      </c>
      <c r="D55" s="387" t="s">
        <v>25</v>
      </c>
      <c r="E55" s="609" t="str">
        <f>VLOOKUP(Q6,Absen!$C$9:$J$48,5)&amp;"   hari"</f>
        <v>-   hari</v>
      </c>
      <c r="F55" s="610" t="e">
        <f>CONCATENATE(" ",VLOOKUP(M21,Absen!$C$9:$M$49,4))</f>
        <v>#N/A</v>
      </c>
      <c r="G55" s="56"/>
      <c r="H55" s="469"/>
      <c r="I55" s="388"/>
      <c r="J55" s="618"/>
      <c r="K55" s="618"/>
      <c r="L55" s="618"/>
      <c r="M55" s="618"/>
      <c r="N55" s="389"/>
      <c r="O55" s="155"/>
    </row>
    <row r="56" spans="2:15" ht="16.5">
      <c r="B56" s="155"/>
      <c r="C56" s="378">
        <v>2</v>
      </c>
      <c r="D56" s="387" t="s">
        <v>26</v>
      </c>
      <c r="E56" s="609" t="str">
        <f>CONCATENATE(" ",VLOOKUP(Q6,Absen!$C$9:$M$49,6))&amp;"   hari"</f>
        <v xml:space="preserve"> -   hari</v>
      </c>
      <c r="F56" s="610" t="e">
        <f>CONCATENATE(" ",VLOOKUP(M21,Absen!$C$9:$M$49,5))</f>
        <v>#N/A</v>
      </c>
      <c r="G56" s="56"/>
      <c r="H56" s="469"/>
      <c r="I56" s="388"/>
      <c r="J56" s="619"/>
      <c r="K56" s="619"/>
      <c r="L56" s="620"/>
      <c r="M56" s="56"/>
      <c r="N56" s="390"/>
      <c r="O56" s="155"/>
    </row>
    <row r="57" spans="2:15" ht="16.5">
      <c r="B57" s="155"/>
      <c r="C57" s="378">
        <v>3</v>
      </c>
      <c r="D57" s="387" t="s">
        <v>27</v>
      </c>
      <c r="E57" s="609" t="str">
        <f>CONCATENATE(" ",VLOOKUP(Q6,Absen!$C$9:$M$49,7))&amp;"   hari"</f>
        <v xml:space="preserve"> -   hari</v>
      </c>
      <c r="F57" s="610" t="e">
        <f>CONCATENATE(" ",VLOOKUP(M21,Absen!$C$9:$M$49,6))</f>
        <v>#N/A</v>
      </c>
      <c r="G57" s="56"/>
      <c r="H57" s="469"/>
      <c r="I57" s="391"/>
      <c r="J57" s="619"/>
      <c r="K57" s="619"/>
      <c r="L57" s="620"/>
      <c r="M57" s="56"/>
      <c r="N57" s="390"/>
      <c r="O57" s="155"/>
    </row>
    <row r="58" spans="2:15" ht="18.75">
      <c r="B58" s="155"/>
      <c r="C58" s="345"/>
      <c r="D58" s="345"/>
      <c r="E58" s="345"/>
      <c r="F58" s="345"/>
      <c r="G58" s="345"/>
      <c r="H58" s="345"/>
      <c r="I58" s="345"/>
      <c r="J58" s="663" t="str">
        <f>DataGuru!D16</f>
        <v>Padang, 20  Juni 2015</v>
      </c>
      <c r="K58" s="663"/>
      <c r="L58" s="663"/>
      <c r="M58" s="663"/>
      <c r="N58" s="663"/>
      <c r="O58" s="155"/>
    </row>
    <row r="59" spans="2:15" ht="18" customHeight="1">
      <c r="B59" s="155"/>
      <c r="C59" s="345"/>
      <c r="D59" s="342" t="s">
        <v>247</v>
      </c>
      <c r="E59" s="345"/>
      <c r="F59" s="345"/>
      <c r="G59" s="345"/>
      <c r="H59" s="345"/>
      <c r="I59" s="345"/>
      <c r="J59" s="660" t="s">
        <v>203</v>
      </c>
      <c r="K59" s="660"/>
      <c r="L59" s="660"/>
      <c r="M59" s="660"/>
      <c r="N59" s="660"/>
      <c r="O59" s="155"/>
    </row>
    <row r="60" spans="2:15" ht="18.75">
      <c r="B60" s="155"/>
      <c r="C60" s="345"/>
      <c r="D60" s="342" t="s">
        <v>202</v>
      </c>
      <c r="E60" s="345"/>
      <c r="F60" s="345"/>
      <c r="G60" s="345"/>
      <c r="H60" s="345"/>
      <c r="I60" s="345"/>
      <c r="J60" s="345"/>
      <c r="K60" s="345"/>
      <c r="L60" s="392"/>
      <c r="M60" s="345"/>
      <c r="N60" s="345"/>
      <c r="O60" s="155"/>
    </row>
    <row r="61" spans="2:15" ht="18.75">
      <c r="B61" s="155"/>
      <c r="C61" s="345"/>
      <c r="D61" s="345"/>
      <c r="E61" s="345"/>
      <c r="F61" s="345"/>
      <c r="G61" s="345"/>
      <c r="H61" s="345"/>
      <c r="I61" s="345"/>
      <c r="J61" s="661" t="str">
        <f>DataGuru!$D$14</f>
        <v>Dra.NENG MULYETTI</v>
      </c>
      <c r="K61" s="661"/>
      <c r="L61" s="661"/>
      <c r="M61" s="661"/>
      <c r="N61" s="661"/>
      <c r="O61" s="155"/>
    </row>
    <row r="62" spans="2:15" ht="18.75">
      <c r="B62" s="155"/>
      <c r="C62" s="345"/>
      <c r="D62" s="345" t="s">
        <v>287</v>
      </c>
      <c r="E62" s="345"/>
      <c r="F62" s="393"/>
      <c r="G62" s="393"/>
      <c r="H62" s="393"/>
      <c r="I62" s="393"/>
      <c r="J62" s="662" t="str">
        <f>DataGuru!$D$15</f>
        <v>Nip. 196409181989032003</v>
      </c>
      <c r="K62" s="662"/>
      <c r="L62" s="662"/>
      <c r="M62" s="662"/>
      <c r="N62" s="662"/>
      <c r="O62" s="155"/>
    </row>
    <row r="63" spans="2:15" ht="17.25" customHeight="1">
      <c r="B63" s="155"/>
      <c r="C63" s="319"/>
      <c r="D63" s="319"/>
      <c r="E63" s="319"/>
      <c r="F63" s="319"/>
      <c r="G63" s="319"/>
      <c r="H63" s="319"/>
      <c r="I63" s="319"/>
      <c r="J63" s="319"/>
      <c r="K63" s="319"/>
      <c r="L63" s="320"/>
      <c r="M63" s="320"/>
      <c r="N63" s="320"/>
      <c r="O63" s="155"/>
    </row>
    <row r="64" spans="2:15">
      <c r="B64" s="155"/>
      <c r="C64" s="155"/>
      <c r="D64" s="155"/>
      <c r="E64" s="155"/>
      <c r="F64" s="155"/>
      <c r="G64" s="155"/>
      <c r="H64" s="155"/>
      <c r="I64" s="155"/>
      <c r="J64" s="155"/>
      <c r="K64" s="155"/>
      <c r="L64" s="155"/>
      <c r="M64" s="155"/>
      <c r="N64" s="155"/>
      <c r="O64" s="155"/>
    </row>
  </sheetData>
  <protectedRanges>
    <protectedRange password="DD40" sqref="H49 M25:N25 J12:K12 J56:L57 J1:N2 J6:M11 J54:K55 H53:I57 J53:L53 C1:E3 I48:N49 C5:E25 N3:N24 C32:N33 D26:E31 C49:E53 E4 F48:G49 F53:G54 F50:M52 D47:N47 N26:N31 N34:N46 C26:C48 C54:C63 F58:I63 L60 D55:E63 M53:N62 L63:N63 F1:I31 J13:L31 D34:L46 K59:K63 J59:J60 J63" name="Range1_1"/>
    <protectedRange password="DD40" sqref="J61 J58:K58 J62" name="Range1"/>
  </protectedRanges>
  <mergeCells count="185">
    <mergeCell ref="J59:N59"/>
    <mergeCell ref="J61:N61"/>
    <mergeCell ref="J62:N62"/>
    <mergeCell ref="C38:C39"/>
    <mergeCell ref="J58:N58"/>
    <mergeCell ref="F52:N52"/>
    <mergeCell ref="C19:C20"/>
    <mergeCell ref="D19:E19"/>
    <mergeCell ref="C21:C22"/>
    <mergeCell ref="F21:F22"/>
    <mergeCell ref="D26:E26"/>
    <mergeCell ref="C23:C24"/>
    <mergeCell ref="F19:F20"/>
    <mergeCell ref="D23:E23"/>
    <mergeCell ref="F49:N49"/>
    <mergeCell ref="H45:I46"/>
    <mergeCell ref="J45:J46"/>
    <mergeCell ref="L43:L44"/>
    <mergeCell ref="L45:L46"/>
    <mergeCell ref="F50:N50"/>
    <mergeCell ref="D45:E45"/>
    <mergeCell ref="D46:E46"/>
    <mergeCell ref="D44:E44"/>
    <mergeCell ref="F43:F44"/>
    <mergeCell ref="F45:F46"/>
    <mergeCell ref="F48:N48"/>
    <mergeCell ref="D43:E43"/>
    <mergeCell ref="M45:M46"/>
    <mergeCell ref="H43:I44"/>
    <mergeCell ref="D40:E40"/>
    <mergeCell ref="D41:E41"/>
    <mergeCell ref="D36:E36"/>
    <mergeCell ref="D37:E37"/>
    <mergeCell ref="D38:E38"/>
    <mergeCell ref="D39:E39"/>
    <mergeCell ref="M36:M37"/>
    <mergeCell ref="H38:I39"/>
    <mergeCell ref="J38:J39"/>
    <mergeCell ref="L38:L39"/>
    <mergeCell ref="M38:M39"/>
    <mergeCell ref="H36:I37"/>
    <mergeCell ref="J36:J37"/>
    <mergeCell ref="L36:L37"/>
    <mergeCell ref="F40:F41"/>
    <mergeCell ref="M43:M44"/>
    <mergeCell ref="F36:F37"/>
    <mergeCell ref="C34:C35"/>
    <mergeCell ref="F34:F35"/>
    <mergeCell ref="C30:C31"/>
    <mergeCell ref="F30:F31"/>
    <mergeCell ref="C28:C29"/>
    <mergeCell ref="D30:E30"/>
    <mergeCell ref="C17:C18"/>
    <mergeCell ref="F17:F18"/>
    <mergeCell ref="D18:E18"/>
    <mergeCell ref="D17:E17"/>
    <mergeCell ref="F26:F27"/>
    <mergeCell ref="C36:C37"/>
    <mergeCell ref="L34:L35"/>
    <mergeCell ref="M34:M35"/>
    <mergeCell ref="H30:H31"/>
    <mergeCell ref="D28:E28"/>
    <mergeCell ref="J10:L10"/>
    <mergeCell ref="M10:N10"/>
    <mergeCell ref="H11:I11"/>
    <mergeCell ref="C12:D12"/>
    <mergeCell ref="H12:I12"/>
    <mergeCell ref="N12:N46"/>
    <mergeCell ref="J13:J14"/>
    <mergeCell ref="L13:L14"/>
    <mergeCell ref="M13:M14"/>
    <mergeCell ref="J15:J16"/>
    <mergeCell ref="C45:C46"/>
    <mergeCell ref="C43:C44"/>
    <mergeCell ref="F10:I10"/>
    <mergeCell ref="D31:E31"/>
    <mergeCell ref="D34:E34"/>
    <mergeCell ref="D35:E35"/>
    <mergeCell ref="H13:H14"/>
    <mergeCell ref="F28:F29"/>
    <mergeCell ref="D27:E27"/>
    <mergeCell ref="C15:C16"/>
    <mergeCell ref="C13:C14"/>
    <mergeCell ref="C40:C41"/>
    <mergeCell ref="J56:L56"/>
    <mergeCell ref="H40:I41"/>
    <mergeCell ref="J40:J41"/>
    <mergeCell ref="L40:L41"/>
    <mergeCell ref="M40:M41"/>
    <mergeCell ref="J43:J44"/>
    <mergeCell ref="F38:F39"/>
    <mergeCell ref="L15:L16"/>
    <mergeCell ref="M15:M16"/>
    <mergeCell ref="J17:J18"/>
    <mergeCell ref="L17:L18"/>
    <mergeCell ref="M17:M18"/>
    <mergeCell ref="F15:F16"/>
    <mergeCell ref="J19:J20"/>
    <mergeCell ref="L19:L20"/>
    <mergeCell ref="M19:M20"/>
    <mergeCell ref="J21:J22"/>
    <mergeCell ref="L21:L22"/>
    <mergeCell ref="M21:M22"/>
    <mergeCell ref="H28:H29"/>
    <mergeCell ref="F23:F24"/>
    <mergeCell ref="Q3:Q4"/>
    <mergeCell ref="E56:F56"/>
    <mergeCell ref="H19:H20"/>
    <mergeCell ref="C10:E11"/>
    <mergeCell ref="H21:H22"/>
    <mergeCell ref="H23:H24"/>
    <mergeCell ref="H26:H27"/>
    <mergeCell ref="H15:H16"/>
    <mergeCell ref="L26:L27"/>
    <mergeCell ref="M26:M27"/>
    <mergeCell ref="J28:J29"/>
    <mergeCell ref="L28:L29"/>
    <mergeCell ref="M28:M29"/>
    <mergeCell ref="L23:L24"/>
    <mergeCell ref="M23:M24"/>
    <mergeCell ref="J26:J27"/>
    <mergeCell ref="D24:E24"/>
    <mergeCell ref="D29:E29"/>
    <mergeCell ref="D20:E20"/>
    <mergeCell ref="D13:E13"/>
    <mergeCell ref="D14:E14"/>
    <mergeCell ref="D16:E16"/>
    <mergeCell ref="C26:C27"/>
    <mergeCell ref="F13:F14"/>
    <mergeCell ref="F51:N51"/>
    <mergeCell ref="E57:F57"/>
    <mergeCell ref="L3:M3"/>
    <mergeCell ref="L4:M4"/>
    <mergeCell ref="L5:M5"/>
    <mergeCell ref="D21:E21"/>
    <mergeCell ref="D22:E22"/>
    <mergeCell ref="Q6:Q7"/>
    <mergeCell ref="J55:M55"/>
    <mergeCell ref="J57:L57"/>
    <mergeCell ref="J54:M54"/>
    <mergeCell ref="E55:F55"/>
    <mergeCell ref="C48:E48"/>
    <mergeCell ref="D50:E50"/>
    <mergeCell ref="D51:E51"/>
    <mergeCell ref="D52:E52"/>
    <mergeCell ref="D49:E49"/>
    <mergeCell ref="D15:E15"/>
    <mergeCell ref="Q12:Q13"/>
    <mergeCell ref="J30:J31"/>
    <mergeCell ref="L30:L31"/>
    <mergeCell ref="M30:M31"/>
    <mergeCell ref="H34:I35"/>
    <mergeCell ref="J34:J35"/>
    <mergeCell ref="F11:G11"/>
    <mergeCell ref="J11:K11"/>
    <mergeCell ref="G13:G14"/>
    <mergeCell ref="G15:G16"/>
    <mergeCell ref="G17:G18"/>
    <mergeCell ref="G19:G20"/>
    <mergeCell ref="G21:G22"/>
    <mergeCell ref="G23:G24"/>
    <mergeCell ref="G26:G27"/>
    <mergeCell ref="J23:J24"/>
    <mergeCell ref="H17:H18"/>
    <mergeCell ref="G28:G29"/>
    <mergeCell ref="G30:G31"/>
    <mergeCell ref="K13:K14"/>
    <mergeCell ref="K15:K16"/>
    <mergeCell ref="K17:K18"/>
    <mergeCell ref="K19:K20"/>
    <mergeCell ref="K21:K22"/>
    <mergeCell ref="K23:K24"/>
    <mergeCell ref="K26:K27"/>
    <mergeCell ref="K28:K29"/>
    <mergeCell ref="K30:K31"/>
    <mergeCell ref="G34:G35"/>
    <mergeCell ref="G36:G37"/>
    <mergeCell ref="G38:G39"/>
    <mergeCell ref="G40:G41"/>
    <mergeCell ref="G43:G44"/>
    <mergeCell ref="K34:K35"/>
    <mergeCell ref="K36:K37"/>
    <mergeCell ref="K38:K39"/>
    <mergeCell ref="K40:K41"/>
    <mergeCell ref="K43:K44"/>
  </mergeCells>
  <conditionalFormatting sqref="F13:G13 J13:K13 J26:K26 F26:G26 F34:G34 J34:K34 F17:F24 F28:F31 J15:J24 J27:J31 F42:G43 F36:F41 F45:G47 F44 J42:K43 J35:J41 J45:K47 J44 G15 G17 G19 G21 G23 K15 K17 K19 K21 K23 G28 G30 K28 K30 K36 K38 K40 G36 G38 G40">
    <cfRule type="cellIs" dxfId="3" priority="7" stopIfTrue="1" operator="lessThan">
      <formula>#REF!</formula>
    </cfRule>
  </conditionalFormatting>
  <conditionalFormatting sqref="F15">
    <cfRule type="cellIs" dxfId="2" priority="6" stopIfTrue="1" operator="lessThan">
      <formula>#REF!</formula>
    </cfRule>
  </conditionalFormatting>
  <hyperlinks>
    <hyperlink ref="Q3:Q4" location="UTAMA!A1" display="MENU"/>
    <hyperlink ref="Q10" location="Sampul!A1" display="SAMPUL"/>
    <hyperlink ref="Q12:Q13" location="Deskripsi!A1" display="Deskripsi"/>
  </hyperlinks>
  <printOptions horizontalCentered="1"/>
  <pageMargins left="0.511811023622047" right="0.23622047244094499" top="0.80118110200000003" bottom="0.20866141699999999" header="0.31496062992126" footer="0.31496062992126"/>
  <pageSetup paperSize="9" scale="86" firstPageNumber="3" orientation="portrait" useFirstPageNumber="1" horizontalDpi="4294967293" verticalDpi="4294967293" r:id="rId1"/>
  <headerFooter>
    <oddFooter>&amp;C&amp;P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2" r:id="rId4" name="Drop Down 2">
              <controlPr defaultSize="0" autoLine="0" autoPict="0">
                <anchor moveWithCells="1">
                  <from>
                    <xdr:col>15</xdr:col>
                    <xdr:colOff>219075</xdr:colOff>
                    <xdr:row>7</xdr:row>
                    <xdr:rowOff>38100</xdr:rowOff>
                  </from>
                  <to>
                    <xdr:col>17</xdr:col>
                    <xdr:colOff>390525</xdr:colOff>
                    <xdr:row>8</xdr:row>
                    <xdr:rowOff>95250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370AB6"/>
  </sheetPr>
  <dimension ref="B1:L80"/>
  <sheetViews>
    <sheetView showGridLines="0" workbookViewId="0">
      <selection activeCell="O10" sqref="O10"/>
    </sheetView>
  </sheetViews>
  <sheetFormatPr defaultRowHeight="15"/>
  <cols>
    <col min="1" max="1" width="7.42578125" style="33" customWidth="1"/>
    <col min="2" max="2" width="3.42578125" style="33" customWidth="1"/>
    <col min="3" max="3" width="3.85546875" style="33" customWidth="1"/>
    <col min="4" max="4" width="18.28515625" style="33" customWidth="1"/>
    <col min="5" max="5" width="22.7109375" style="33" customWidth="1"/>
    <col min="6" max="6" width="8.42578125" style="33" customWidth="1"/>
    <col min="7" max="7" width="15.42578125" style="33" customWidth="1"/>
    <col min="8" max="8" width="39.42578125" style="33" customWidth="1"/>
    <col min="9" max="9" width="3.42578125" style="33" customWidth="1"/>
    <col min="10" max="10" width="9.140625" style="33"/>
    <col min="11" max="11" width="6.5703125" style="33" customWidth="1"/>
    <col min="12" max="12" width="10.42578125" style="33" customWidth="1"/>
    <col min="13" max="16384" width="9.140625" style="33"/>
  </cols>
  <sheetData>
    <row r="1" spans="2:12" ht="27" customHeight="1" thickBot="1"/>
    <row r="2" spans="2:12" ht="16.5" customHeight="1" thickBot="1">
      <c r="B2" s="34"/>
      <c r="C2" s="34"/>
      <c r="D2" s="34"/>
      <c r="E2" s="34"/>
      <c r="F2" s="34"/>
      <c r="G2" s="34"/>
      <c r="H2" s="34"/>
      <c r="I2" s="34"/>
      <c r="L2" s="291" t="s">
        <v>312</v>
      </c>
    </row>
    <row r="3" spans="2:12" ht="15.75" thickBot="1">
      <c r="B3" s="34"/>
      <c r="C3" s="673" t="s">
        <v>309</v>
      </c>
      <c r="D3" s="673"/>
      <c r="E3" s="438" t="str">
        <f>DataGuru!D7</f>
        <v>SMA NEGERI 4 PADANG</v>
      </c>
      <c r="F3" s="438"/>
      <c r="G3" s="669" t="str">
        <f>IF(DataGuru!$D$10="",""," "&amp;"Kelas                          :  "&amp;DataGuru!$D$10)</f>
        <v xml:space="preserve"> Kelas                          :  XI MIA 4</v>
      </c>
      <c r="H3" s="669"/>
      <c r="I3" s="34"/>
    </row>
    <row r="4" spans="2:12" ht="15.75" customHeight="1" thickTop="1">
      <c r="B4" s="34"/>
      <c r="C4" s="673" t="s">
        <v>718</v>
      </c>
      <c r="D4" s="673"/>
      <c r="E4" s="438" t="str">
        <f>DataGuru!D8</f>
        <v>Jl. Linggar Jati no.1 Lubuk Begalung</v>
      </c>
      <c r="F4" s="438"/>
      <c r="G4" s="669" t="str">
        <f>IF(DataGuru!$D$11="",""," "&amp;"Semester                     :  "&amp;DataGuru!$D$11)</f>
        <v xml:space="preserve"> Semester                     :  2</v>
      </c>
      <c r="H4" s="669"/>
      <c r="I4" s="34"/>
      <c r="L4" s="687" t="s">
        <v>243</v>
      </c>
    </row>
    <row r="5" spans="2:12" ht="15.75" customHeight="1" thickBot="1">
      <c r="B5" s="34"/>
      <c r="C5" s="673" t="s">
        <v>717</v>
      </c>
      <c r="D5" s="673"/>
      <c r="E5" s="439" t="str">
        <f>VLOOKUP(L7,DataSiswa!$A$8:$CR$47,3)</f>
        <v>Wahyu Yolanda</v>
      </c>
      <c r="F5" s="438"/>
      <c r="G5" s="669" t="str">
        <f>IF(DataGuru!$D$9="",""," "&amp;"Tahun Pembelajaran     :  "&amp;DataGuru!$D$9)</f>
        <v xml:space="preserve"> Tahun Pembelajaran     :  2014/2015</v>
      </c>
      <c r="H5" s="669"/>
      <c r="I5" s="34"/>
      <c r="L5" s="688"/>
    </row>
    <row r="6" spans="2:12" ht="16.5" thickTop="1" thickBot="1">
      <c r="B6" s="34"/>
      <c r="C6" s="673" t="s">
        <v>310</v>
      </c>
      <c r="D6" s="673"/>
      <c r="E6" s="439" t="str">
        <f>VLOOKUP(L7,DataSiswa!$A$8:$CR$47,2)</f>
        <v>9982889268</v>
      </c>
      <c r="F6" s="438"/>
      <c r="G6" s="438"/>
      <c r="H6" s="438"/>
      <c r="I6" s="34"/>
    </row>
    <row r="7" spans="2:12">
      <c r="B7" s="34"/>
      <c r="C7" s="438"/>
      <c r="D7" s="438"/>
      <c r="E7" s="438"/>
      <c r="F7" s="438"/>
      <c r="G7" s="438"/>
      <c r="H7" s="438"/>
      <c r="I7" s="34"/>
      <c r="L7" s="685">
        <v>32</v>
      </c>
    </row>
    <row r="8" spans="2:12" ht="16.5" thickBot="1">
      <c r="B8" s="34"/>
      <c r="C8" s="440" t="s">
        <v>217</v>
      </c>
      <c r="D8" s="438"/>
      <c r="E8" s="438"/>
      <c r="F8" s="438"/>
      <c r="G8" s="438"/>
      <c r="H8" s="438"/>
      <c r="I8" s="34"/>
      <c r="L8" s="686"/>
    </row>
    <row r="9" spans="2:12" ht="20.100000000000001" customHeight="1">
      <c r="B9" s="34"/>
      <c r="C9" s="671" t="s">
        <v>9</v>
      </c>
      <c r="D9" s="672"/>
      <c r="E9" s="441" t="s">
        <v>215</v>
      </c>
      <c r="F9" s="675" t="s">
        <v>216</v>
      </c>
      <c r="G9" s="676"/>
      <c r="H9" s="677"/>
      <c r="I9" s="34"/>
    </row>
    <row r="10" spans="2:12" ht="18" customHeight="1">
      <c r="B10" s="34"/>
      <c r="C10" s="442" t="s">
        <v>195</v>
      </c>
      <c r="D10" s="443"/>
      <c r="E10" s="443"/>
      <c r="F10" s="443"/>
      <c r="G10" s="443"/>
      <c r="H10" s="444"/>
      <c r="I10" s="34"/>
    </row>
    <row r="11" spans="2:12" ht="60" customHeight="1">
      <c r="B11" s="34"/>
      <c r="C11" s="670">
        <v>1</v>
      </c>
      <c r="D11" s="674" t="s">
        <v>208</v>
      </c>
      <c r="E11" s="463" t="s">
        <v>39</v>
      </c>
      <c r="F11" s="680" t="str">
        <f>VLOOKUP($L$7,AG!$B$14:$L$53,9)</f>
        <v>Sangat mampu dalam  memahami, menjelaskan, menerapkan, dan menganalisis pengetahuan faktual, konseptual, prosedural yang berkaitan dengan  Al-Qur'an, Iman kepada Rasul Akhlak kepada orang tua dan guru, ekonomi Islam</v>
      </c>
      <c r="G11" s="680"/>
      <c r="H11" s="680"/>
      <c r="I11" s="34"/>
    </row>
    <row r="12" spans="2:12" ht="33.75" customHeight="1">
      <c r="B12" s="34"/>
      <c r="C12" s="670"/>
      <c r="D12" s="674"/>
      <c r="E12" s="463" t="s">
        <v>207</v>
      </c>
      <c r="F12" s="680" t="str">
        <f>VLOOKUP($L$7,AG!$B$14:$L$53,10)</f>
        <v>Terampil  dalam menerapkan konsep yang berkaitan dengan  membaca Al-Qur'an sesuai hukum tajwid  mempresentasikan hafalan ayat</v>
      </c>
      <c r="G12" s="680"/>
      <c r="H12" s="680"/>
      <c r="I12" s="34"/>
    </row>
    <row r="13" spans="2:12" ht="35.1" customHeight="1">
      <c r="B13" s="34"/>
      <c r="C13" s="670"/>
      <c r="D13" s="674"/>
      <c r="E13" s="463" t="s">
        <v>206</v>
      </c>
      <c r="F13" s="680" t="str">
        <f>VLOOKUP($L$7,AG!$B$14:$L$53,11)</f>
        <v>Selalu konsisten dalam menunjukkan perilaku jujur, disiplin, tanggung jawab, peduli dan  santun dalam kegiatan pembelajaran di dalam kelas</v>
      </c>
      <c r="G13" s="680"/>
      <c r="H13" s="680"/>
      <c r="I13" s="34"/>
    </row>
    <row r="14" spans="2:12" ht="42" customHeight="1">
      <c r="B14" s="34"/>
      <c r="C14" s="670">
        <v>2</v>
      </c>
      <c r="D14" s="674" t="s">
        <v>209</v>
      </c>
      <c r="E14" s="463" t="s">
        <v>39</v>
      </c>
      <c r="F14" s="680" t="str">
        <f>VLOOKUP($L$7,PPKN!$B$14:$L$53,9)</f>
        <v xml:space="preserve">Sangat Mampu dalam  memahami, menjelaskan, menerapkan, dan menganalisis pengetahuan faktual, konseptual, prosedural yang berkaitan dengan  hak dan pengingkaran kewajiban, integrasi nasional, dan teori geopolitik </v>
      </c>
      <c r="G14" s="680"/>
      <c r="H14" s="680"/>
      <c r="I14" s="34"/>
    </row>
    <row r="15" spans="2:12" ht="35.1" customHeight="1">
      <c r="B15" s="34"/>
      <c r="C15" s="670"/>
      <c r="D15" s="674"/>
      <c r="E15" s="463" t="s">
        <v>207</v>
      </c>
      <c r="F15" s="680" t="str">
        <f>VLOOKUP($L$7,PPKN!$B$14:$L$53,10)</f>
        <v xml:space="preserve">Terampil  dalam menerapkan konsep yang berkaitan dengan  hak dan pengingkaran kewajiban, integrasi Nasional, dan teori geopolitik </v>
      </c>
      <c r="G15" s="680"/>
      <c r="H15" s="680"/>
      <c r="I15" s="34"/>
    </row>
    <row r="16" spans="2:12" ht="35.25" customHeight="1">
      <c r="B16" s="34"/>
      <c r="C16" s="670"/>
      <c r="D16" s="674"/>
      <c r="E16" s="463" t="s">
        <v>206</v>
      </c>
      <c r="F16" s="680" t="str">
        <f>VLOOKUP($L$7,PPKN!$B$14:$L$53,11)</f>
        <v>Selalu konsisten dalam menunjukkan prilaku jujur,disiplin,tanggung jawab,peduli dan  santun dalam kegiatan pembelajaran di dalam kelas</v>
      </c>
      <c r="G16" s="680"/>
      <c r="H16" s="680"/>
      <c r="I16" s="34"/>
    </row>
    <row r="17" spans="2:9" ht="50.1" customHeight="1">
      <c r="B17" s="34"/>
      <c r="C17" s="670">
        <v>3</v>
      </c>
      <c r="D17" s="674" t="s">
        <v>43</v>
      </c>
      <c r="E17" s="463" t="s">
        <v>39</v>
      </c>
      <c r="F17" s="680" t="str">
        <f>VLOOKUP($L$7,B.ind!$B$14:$L$53,9)</f>
        <v>Mampu dalam  memahami, menjelaskan, menerapkan, dan menganalisis pengetahuan faktual, konseptual, prosedural yang berkaitan dengan  Teks EksplanasiTeks UlasanTeks sebagai Media</v>
      </c>
      <c r="G17" s="680"/>
      <c r="H17" s="680"/>
      <c r="I17" s="34"/>
    </row>
    <row r="18" spans="2:9" ht="35.1" customHeight="1">
      <c r="B18" s="34"/>
      <c r="C18" s="670"/>
      <c r="D18" s="674"/>
      <c r="E18" s="463" t="s">
        <v>207</v>
      </c>
      <c r="F18" s="680" t="str">
        <f>VLOOKUP($L$7,B.ind!$B$14:$L$53,10)</f>
        <v>Terampil  dalam menerapkan konsep yang berkaitan dengan  Teks EksplanasiTeks UlasanTeks sebagai Media</v>
      </c>
      <c r="G18" s="680"/>
      <c r="H18" s="680"/>
      <c r="I18" s="34"/>
    </row>
    <row r="19" spans="2:9" ht="38.25" customHeight="1">
      <c r="B19" s="34"/>
      <c r="C19" s="670"/>
      <c r="D19" s="674"/>
      <c r="E19" s="463" t="s">
        <v>206</v>
      </c>
      <c r="F19" s="680" t="str">
        <f>VLOOKUP($L$7,B.ind!$B$14:$L$53,11)</f>
        <v xml:space="preserve">Konsistendalam kegiatan pembelajaran di dalam kelasdisiplin,tanggung jawab,peduli dan  santun </v>
      </c>
      <c r="G19" s="680"/>
      <c r="H19" s="680"/>
      <c r="I19" s="34"/>
    </row>
    <row r="20" spans="2:9" ht="60" customHeight="1">
      <c r="B20" s="34"/>
      <c r="C20" s="670">
        <v>4</v>
      </c>
      <c r="D20" s="674" t="s">
        <v>15</v>
      </c>
      <c r="E20" s="463" t="s">
        <v>39</v>
      </c>
      <c r="F20" s="680" t="str">
        <f>VLOOKUP($L$7,'Mat W'!$B$14:$L$53,9)</f>
        <v>Sangat Mampu dalam  memahami, menjelaskan, menerapkan, dan menganalisis pengetahuan faktual, konseptual, prosedural yang berkaitan dengan  statistika,Aturan pencacahan,persamaan lingkaran,tranformasi geometri, turunan dan integral</v>
      </c>
      <c r="G20" s="680"/>
      <c r="H20" s="680"/>
      <c r="I20" s="34"/>
    </row>
    <row r="21" spans="2:9" ht="47.25" customHeight="1">
      <c r="B21" s="34"/>
      <c r="C21" s="670"/>
      <c r="D21" s="674"/>
      <c r="E21" s="463" t="s">
        <v>207</v>
      </c>
      <c r="F21" s="680" t="str">
        <f>VLOOKUP($L$7,'Mat W'!$B$14:$L$53,10)</f>
        <v>Terampil  dalam menerapkan konsep yang berkaitan dengan  statistika,Aturan pencacahan,persamaan lingkaran,tranformasi geometri, turunan dan integral</v>
      </c>
      <c r="G21" s="680"/>
      <c r="H21" s="680"/>
      <c r="I21" s="34"/>
    </row>
    <row r="22" spans="2:9" ht="30" customHeight="1">
      <c r="B22" s="34"/>
      <c r="C22" s="670"/>
      <c r="D22" s="674"/>
      <c r="E22" s="463" t="s">
        <v>206</v>
      </c>
      <c r="F22" s="680" t="str">
        <f>VLOOKUP($L$7,'Mat W'!$B$14:$L$53,11)</f>
        <v xml:space="preserve">Konsistendalam kegiatan pembelajaran di dalam kelasdisiplin,tanggung jawab,peduli dan  santun </v>
      </c>
      <c r="G22" s="680"/>
      <c r="H22" s="680"/>
      <c r="I22" s="34"/>
    </row>
    <row r="23" spans="2:9" ht="60" customHeight="1">
      <c r="B23" s="34"/>
      <c r="C23" s="670">
        <v>5</v>
      </c>
      <c r="D23" s="674" t="s">
        <v>210</v>
      </c>
      <c r="E23" s="463" t="s">
        <v>39</v>
      </c>
      <c r="F23" s="680" t="str">
        <f>VLOOKUP($L$7,Sej!$B$14:$L$53,9)</f>
        <v>Mampu mendeskripsikan dan menganalisisKedatangan Bangsa Jepang ke Indonesia,  Peristiwa  Proklamasi Kemerdekaan Indonesia, Pembentukan pemerintahan pertama  RI ,   Mempertahankan kemerdekaan Indonesia dan perjuangan diplomasi.</v>
      </c>
      <c r="G23" s="680"/>
      <c r="H23" s="680"/>
      <c r="I23" s="34"/>
    </row>
    <row r="24" spans="2:9" ht="54.95" customHeight="1">
      <c r="B24" s="34"/>
      <c r="C24" s="670"/>
      <c r="D24" s="674"/>
      <c r="E24" s="463" t="s">
        <v>207</v>
      </c>
      <c r="F24" s="680" t="str">
        <f>VLOOKUP($L$7,Sej!$B$14:$L$53,10)</f>
        <v xml:space="preserve">Terampil dalam mengidentifikasikan Kedatangan Bangsa Jepang ke Indonesia,  Peristiwa  Proklamasi Kemerdekaan Indonesia, Pembentukan pemerintahan pertama  RI ,   Mempertahankan kemerdekaan Indonesia,  </v>
      </c>
      <c r="G24" s="680"/>
      <c r="H24" s="680"/>
      <c r="I24" s="34"/>
    </row>
    <row r="25" spans="2:9" ht="35.1" customHeight="1">
      <c r="B25" s="34"/>
      <c r="C25" s="670"/>
      <c r="D25" s="674"/>
      <c r="E25" s="463" t="s">
        <v>206</v>
      </c>
      <c r="F25" s="680" t="str">
        <f>VLOOKUP($L$7,Sej!$B$14:$L$53,11)</f>
        <v>Konsisten dalam menunjukkan prilaku jujur,disiplin,tanggung jawab,peduli dan  dalam kegiatan pembelajaran di dalam kelas</v>
      </c>
      <c r="G25" s="680"/>
      <c r="H25" s="680"/>
      <c r="I25" s="34"/>
    </row>
    <row r="26" spans="2:9" ht="45" customHeight="1">
      <c r="B26" s="34"/>
      <c r="C26" s="670">
        <v>6</v>
      </c>
      <c r="D26" s="679" t="s">
        <v>44</v>
      </c>
      <c r="E26" s="463" t="s">
        <v>39</v>
      </c>
      <c r="F26" s="680" t="str">
        <f>VLOOKUP($L$7,B.Ing!$B$14:$L$53,9)</f>
        <v>Cukup Mampu dalam  memahami, menjelaskan, menerapkan, dan menganalisis pengetahuan faktual, konseptual, prosedural yang berkaitan dengan  conitional &amp; reportpassive &amp; biograpgyanalitical &amp; song</v>
      </c>
      <c r="G26" s="680"/>
      <c r="H26" s="680"/>
      <c r="I26" s="34"/>
    </row>
    <row r="27" spans="2:9" ht="35.1" customHeight="1">
      <c r="B27" s="34"/>
      <c r="C27" s="670"/>
      <c r="D27" s="679"/>
      <c r="E27" s="463" t="s">
        <v>207</v>
      </c>
      <c r="F27" s="680" t="str">
        <f>VLOOKUP($L$7,B.Ing!$B$14:$L$53,10)</f>
        <v>Terampil  dalam menerapkan konsep yang berkaitan dengan  contional, reportbiography, song,analitical exposition</v>
      </c>
      <c r="G27" s="680"/>
      <c r="H27" s="680"/>
      <c r="I27" s="34"/>
    </row>
    <row r="28" spans="2:9" ht="35.1" customHeight="1">
      <c r="B28" s="34"/>
      <c r="C28" s="670"/>
      <c r="D28" s="679"/>
      <c r="E28" s="463" t="s">
        <v>206</v>
      </c>
      <c r="F28" s="680" t="str">
        <f>VLOOKUP($L$7,B.Ing!$B$14:$L$53,11)</f>
        <v>Konsisten dalam menunjukkan prilaku jujur,disiplin,tanggung jawab,peduli dan  dalam kegiatan pembelajaran di dalam kelas</v>
      </c>
      <c r="G28" s="680"/>
      <c r="H28" s="680"/>
      <c r="I28" s="34"/>
    </row>
    <row r="29" spans="2:9" ht="10.5" customHeight="1">
      <c r="B29" s="34"/>
      <c r="C29" s="487"/>
      <c r="D29" s="488"/>
      <c r="E29" s="478"/>
      <c r="F29" s="489"/>
      <c r="G29" s="489"/>
      <c r="H29" s="490"/>
      <c r="I29" s="34"/>
    </row>
    <row r="30" spans="2:9" ht="11.25" customHeight="1">
      <c r="B30" s="34"/>
      <c r="C30" s="491" t="s">
        <v>199</v>
      </c>
      <c r="D30" s="443"/>
      <c r="E30" s="479"/>
      <c r="F30" s="483"/>
      <c r="G30" s="483"/>
      <c r="H30" s="484"/>
      <c r="I30" s="34"/>
    </row>
    <row r="31" spans="2:9" ht="93.75" customHeight="1">
      <c r="B31" s="34"/>
      <c r="C31" s="670">
        <v>1</v>
      </c>
      <c r="D31" s="681" t="s">
        <v>16</v>
      </c>
      <c r="E31" s="463" t="s">
        <v>39</v>
      </c>
      <c r="F31" s="680" t="str">
        <f>VLOOKUP($L$7,Seni!$B$14:$L$53,9)</f>
        <v xml:space="preserve">Mampu dalam  memahami, menjelaskan, menerapkan, dan menganalisis pengetahuan faktual, konseptual, prosedural yang berkaitan dengan  menampilkan musik kelompok atau paduan suaramembuat tulisan tentang karya karya musik dan penciptamenampilkan teater hasil karya sendiri sesuai naskah membuat   kritik teater mengenai simbol jenis nilai estetis dan fungsinya  </v>
      </c>
      <c r="G31" s="680"/>
      <c r="H31" s="680"/>
      <c r="I31" s="34"/>
    </row>
    <row r="32" spans="2:9" ht="69.95" customHeight="1">
      <c r="B32" s="34"/>
      <c r="C32" s="670"/>
      <c r="D32" s="681"/>
      <c r="E32" s="463" t="s">
        <v>207</v>
      </c>
      <c r="F32" s="682" t="str">
        <f>VLOOKUP($L$7,Seni!$B$14:$L$53,10)</f>
        <v xml:space="preserve">Terampil  dalam menerapkan konsep yang berkaitan dengan  menampilkan musik kelompok atau paduan suara, membuat tulisan tentang karya karya musik dan pencipta, menampilkan teater hasil karya sendiri sesuai naskah,  membuat   kritik teater mengenai simbol jenis nilai estetis dan fungsinya  </v>
      </c>
      <c r="G32" s="683"/>
      <c r="H32" s="684"/>
      <c r="I32" s="34"/>
    </row>
    <row r="33" spans="2:9" ht="39.950000000000003" customHeight="1">
      <c r="B33" s="34"/>
      <c r="C33" s="670"/>
      <c r="D33" s="681"/>
      <c r="E33" s="463" t="s">
        <v>206</v>
      </c>
      <c r="F33" s="680" t="str">
        <f>VLOOKUP($L$7,Seni!$B$14:$L$53,11)</f>
        <v xml:space="preserve">Konsistendalam kegiatan pembelajaran di dalam kelasdisiplin,tanggung jawab,peduli dan  santun </v>
      </c>
      <c r="G33" s="680"/>
      <c r="H33" s="680"/>
      <c r="I33" s="34"/>
    </row>
    <row r="34" spans="2:9" ht="50.1" customHeight="1">
      <c r="B34" s="34"/>
      <c r="C34" s="670">
        <v>2</v>
      </c>
      <c r="D34" s="678" t="s">
        <v>211</v>
      </c>
      <c r="E34" s="463" t="s">
        <v>39</v>
      </c>
      <c r="F34" s="680" t="str">
        <f>VLOOKUP($L$7,Jas!$B$14:$L$53,9)</f>
        <v>Mampu dalam  memahami, menjelaskan, menerapkan, dan menganalisis pengetahuan faktual, konseptual, prosedural yang berkaitan dengan  bola voli, bola basket, atletik (lompat jauh)renang</v>
      </c>
      <c r="G34" s="680"/>
      <c r="H34" s="680"/>
      <c r="I34" s="34"/>
    </row>
    <row r="35" spans="2:9" ht="39.950000000000003" customHeight="1">
      <c r="B35" s="34"/>
      <c r="C35" s="670"/>
      <c r="D35" s="678"/>
      <c r="E35" s="463" t="s">
        <v>207</v>
      </c>
      <c r="F35" s="680" t="str">
        <f>VLOOKUP($L$7,Jas!$B$14:$L$53,10)</f>
        <v xml:space="preserve">Terampil  dalam menerapkan konsep yang berkaitan dengan  bola voli, bola basket, atletik (lompat jauh),renang, </v>
      </c>
      <c r="G35" s="680"/>
      <c r="H35" s="680"/>
      <c r="I35" s="34"/>
    </row>
    <row r="36" spans="2:9" ht="34.5" customHeight="1">
      <c r="B36" s="34"/>
      <c r="C36" s="670"/>
      <c r="D36" s="678"/>
      <c r="E36" s="463" t="s">
        <v>206</v>
      </c>
      <c r="F36" s="680" t="str">
        <f>VLOOKUP($L$7,Jas!$B$14:$L$53,11)</f>
        <v xml:space="preserve">Konsistentanggung jawab,peduli dan  santun </v>
      </c>
      <c r="G36" s="680"/>
      <c r="H36" s="680"/>
      <c r="I36" s="34"/>
    </row>
    <row r="37" spans="2:9" ht="51.75" customHeight="1">
      <c r="B37" s="34"/>
      <c r="C37" s="670">
        <v>3</v>
      </c>
      <c r="D37" s="678" t="s">
        <v>212</v>
      </c>
      <c r="E37" s="463" t="s">
        <v>39</v>
      </c>
      <c r="F37" s="680" t="str">
        <f>VLOOKUP($L$7,Pra!$B$14:$L$53,9)</f>
        <v>Sangat Mampu dalam  memahami,  menerapkan, dan menganalisis pengetahuan  yang berkaitan dengan  Memahami desain,Product bahan lunak, mendesain product dan menciptakan peluang usaha</v>
      </c>
      <c r="G37" s="680"/>
      <c r="H37" s="680"/>
      <c r="I37" s="34"/>
    </row>
    <row r="38" spans="2:9" ht="39.950000000000003" customHeight="1">
      <c r="B38" s="34"/>
      <c r="C38" s="670"/>
      <c r="D38" s="678"/>
      <c r="E38" s="463" t="s">
        <v>207</v>
      </c>
      <c r="F38" s="680" t="str">
        <f>VLOOKUP($L$7,Pra!$B$14:$L$53,10)</f>
        <v>Terampil  dalam  membuat desain, product bahan lunak,mendesain product dan menciptakan peluang usaha</v>
      </c>
      <c r="G38" s="680"/>
      <c r="H38" s="680"/>
      <c r="I38" s="34"/>
    </row>
    <row r="39" spans="2:9" ht="39.950000000000003" customHeight="1">
      <c r="B39" s="34"/>
      <c r="C39" s="670"/>
      <c r="D39" s="678"/>
      <c r="E39" s="463" t="s">
        <v>206</v>
      </c>
      <c r="F39" s="680" t="str">
        <f>VLOOKUP($L$7,Pra!$B$14:$L$53,11)</f>
        <v>Selalu Konsisten dalam menunjukkan prilaku jujur,disiplin,tanggung jawab,peduli dan  dalam kegiatan pembelajaran di dalam kelas</v>
      </c>
      <c r="G39" s="680"/>
      <c r="H39" s="680"/>
      <c r="I39" s="34"/>
    </row>
    <row r="40" spans="2:9" ht="18" customHeight="1">
      <c r="B40" s="34"/>
      <c r="C40" s="445" t="s">
        <v>200</v>
      </c>
      <c r="D40" s="446"/>
      <c r="E40" s="478"/>
      <c r="F40" s="481"/>
      <c r="G40" s="481"/>
      <c r="H40" s="482"/>
      <c r="I40" s="34"/>
    </row>
    <row r="41" spans="2:9" ht="13.5" customHeight="1">
      <c r="B41" s="34"/>
      <c r="C41" s="447"/>
      <c r="D41" s="448" t="s">
        <v>258</v>
      </c>
      <c r="E41" s="479"/>
      <c r="F41" s="483"/>
      <c r="G41" s="483"/>
      <c r="H41" s="484"/>
      <c r="I41" s="34"/>
    </row>
    <row r="42" spans="2:9" ht="65.25" customHeight="1">
      <c r="B42" s="34"/>
      <c r="C42" s="670">
        <v>1</v>
      </c>
      <c r="D42" s="681" t="str">
        <f>DataGuru!I20</f>
        <v>Matematika</v>
      </c>
      <c r="E42" s="463" t="s">
        <v>39</v>
      </c>
      <c r="F42" s="680" t="str">
        <f>VLOOKUP($L$7,'Mat P'!$B$14:$L$53,9)</f>
        <v>Mampu dalam  memahami, menjelaskan, menerapkan, dan menganalisis pengetahuan faktual, konseptual, prosedural yang berkaitan dengan  fungsi trigometri, nilai limit aljabar, fungsi trigonometri untuk memecahkan masalah, dan menentukan titik stasioner</v>
      </c>
      <c r="G42" s="680"/>
      <c r="H42" s="680"/>
      <c r="I42" s="34"/>
    </row>
    <row r="43" spans="2:9" ht="47.25" customHeight="1">
      <c r="B43" s="34"/>
      <c r="C43" s="670"/>
      <c r="D43" s="681"/>
      <c r="E43" s="463" t="s">
        <v>207</v>
      </c>
      <c r="F43" s="680" t="str">
        <f>VLOOKUP($L$7,'Mat P'!$B$14:$L$53,10)</f>
        <v>Terampil  dalam menerapkan konsep yang berkaitan dengan  fungsi trigometri, nilai limit aljabar, fungsi trigonometri untuk memecahkan masalah, dan menentukan titik stasioner</v>
      </c>
      <c r="G43" s="680"/>
      <c r="H43" s="680"/>
      <c r="I43" s="34"/>
    </row>
    <row r="44" spans="2:9" ht="39.950000000000003" customHeight="1">
      <c r="B44" s="34"/>
      <c r="C44" s="670"/>
      <c r="D44" s="681"/>
      <c r="E44" s="463" t="s">
        <v>206</v>
      </c>
      <c r="F44" s="680" t="str">
        <f>VLOOKUP($L$7,'Mat P'!$B$14:$L$53,11)</f>
        <v xml:space="preserve">Konsistendalam kegiatan pembelajaran di dalam kelasdisiplin,tanggung jawab,peduli dan  santun </v>
      </c>
      <c r="G44" s="680"/>
      <c r="H44" s="680"/>
      <c r="I44" s="34"/>
    </row>
    <row r="45" spans="2:9" ht="60" customHeight="1">
      <c r="B45" s="34"/>
      <c r="C45" s="670">
        <v>2</v>
      </c>
      <c r="D45" s="681" t="str">
        <f>DataGuru!I21</f>
        <v>Biologi</v>
      </c>
      <c r="E45" s="463" t="s">
        <v>39</v>
      </c>
      <c r="F45" s="680" t="str">
        <f>VLOOKUP($L$7,Bio!$B$14:$L$53,9)</f>
        <v>Mampu dalam  memahami, menjelaskan, menerapkan, dan menganalisis pengetahuan faktual, konseptual, prosedural yang berkaitan dengan  sistim pencernaan makanan,respirsi, ekskresi,koordinasi, reproduksi dan sistim imun</v>
      </c>
      <c r="G45" s="680"/>
      <c r="H45" s="680"/>
      <c r="I45" s="34"/>
    </row>
    <row r="46" spans="2:9" ht="48.75" customHeight="1">
      <c r="B46" s="34"/>
      <c r="C46" s="670"/>
      <c r="D46" s="681"/>
      <c r="E46" s="463" t="s">
        <v>207</v>
      </c>
      <c r="F46" s="680" t="str">
        <f>VLOOKUP($L$7,Bio!$B$14:$L$53,10)</f>
        <v>Terampil  dalam menerapkan konsep yang berkaitan dengan  Sistem pencernaan pada manusia sistem respirasi, sistem ekskresisistem koordinasi, reproduksi pada manusia dan sistem imun</v>
      </c>
      <c r="G46" s="680"/>
      <c r="H46" s="680"/>
      <c r="I46" s="34"/>
    </row>
    <row r="47" spans="2:9" ht="34.5" customHeight="1">
      <c r="B47" s="34"/>
      <c r="C47" s="670"/>
      <c r="D47" s="681"/>
      <c r="E47" s="463" t="s">
        <v>206</v>
      </c>
      <c r="F47" s="680" t="str">
        <f>VLOOKUP($L$7,Bio!$B$14:$L$53,11)</f>
        <v>Konsisten dalam menunjukkan prilaku jujur,disiplin,tanggung jawab,peduli dan  dalam kegiatan pembelajaran di dalam kelas</v>
      </c>
      <c r="G47" s="680"/>
      <c r="H47" s="680"/>
      <c r="I47" s="34"/>
    </row>
    <row r="48" spans="2:9" ht="60" customHeight="1">
      <c r="B48" s="34"/>
      <c r="C48" s="670">
        <v>3</v>
      </c>
      <c r="D48" s="681" t="str">
        <f>DataGuru!I22</f>
        <v>Fisika</v>
      </c>
      <c r="E48" s="463" t="s">
        <v>39</v>
      </c>
      <c r="F48" s="680" t="str">
        <f>VLOOKUP($L$7,Fis!$B$14:$L$53,9)</f>
        <v xml:space="preserve">Mampu dalam  memahami, menjelaskan, menerapkan, dan menganalisis pengetahuan faktual, konseptual, prosedural yang berkaitan dengan  Dinamika gerak rotasi dan kesetimbang,Dinamika fluida ,Gas ideal ,Global warming, dan gelombang  </v>
      </c>
      <c r="G48" s="680"/>
      <c r="H48" s="680"/>
      <c r="I48" s="34"/>
    </row>
    <row r="49" spans="2:9" ht="36" customHeight="1">
      <c r="B49" s="34"/>
      <c r="C49" s="670"/>
      <c r="D49" s="681"/>
      <c r="E49" s="463" t="s">
        <v>207</v>
      </c>
      <c r="F49" s="680" t="str">
        <f>VLOOKUP($L$7,Fis!$B$14:$L$53,10)</f>
        <v>Terampil  dalam menerapkan konsep yang berkaitan dengan  Elastisitas,Fluida Statis,Suhu Kalor dan Alat Optik</v>
      </c>
      <c r="G49" s="680"/>
      <c r="H49" s="680"/>
      <c r="I49" s="34"/>
    </row>
    <row r="50" spans="2:9" ht="37.5" customHeight="1">
      <c r="B50" s="34"/>
      <c r="C50" s="670"/>
      <c r="D50" s="681"/>
      <c r="E50" s="463" t="s">
        <v>206</v>
      </c>
      <c r="F50" s="680" t="str">
        <f>VLOOKUP($L$7,Fis!$B$14:$L$53,11)</f>
        <v>Konsisten dalam menunjukkan prilaku jujur,disiplin,tanggung jawab,peduli dan  santun dalam kegiatan pembelajaran di dalam kelas</v>
      </c>
      <c r="G50" s="680"/>
      <c r="H50" s="680"/>
      <c r="I50" s="34"/>
    </row>
    <row r="51" spans="2:9" ht="60" customHeight="1">
      <c r="B51" s="34"/>
      <c r="C51" s="670">
        <v>4</v>
      </c>
      <c r="D51" s="681" t="str">
        <f>DataGuru!I23</f>
        <v>Kimia</v>
      </c>
      <c r="E51" s="463" t="s">
        <v>39</v>
      </c>
      <c r="F51" s="680" t="str">
        <f>VLOOKUP($L$7,Kim!$B$14:$L$53,9)</f>
        <v>Mampu dalam  memahami, menjelaskan, menerapkan, dan menganalisis pengetahuan faktual, konseptual, prosedural yang berkaitan dengan  konsep asam basa, titrasihidrolisis garam,larutan penyangga,hasil kali kelarutan,</v>
      </c>
      <c r="G51" s="680"/>
      <c r="H51" s="680"/>
      <c r="I51" s="34"/>
    </row>
    <row r="52" spans="2:9" ht="36" customHeight="1">
      <c r="B52" s="34"/>
      <c r="C52" s="670"/>
      <c r="D52" s="681"/>
      <c r="E52" s="463" t="s">
        <v>207</v>
      </c>
      <c r="F52" s="680" t="str">
        <f>VLOOKUP($L$7,Kim!$B$14:$L$53,10)</f>
        <v>Terampil  dalam menerapkan konsep yang berkaitan dengan  indikator asam basa,titrasi ,hidrolisis garam,sifat larutan penyangga.</v>
      </c>
      <c r="G52" s="680"/>
      <c r="H52" s="680"/>
      <c r="I52" s="34"/>
    </row>
    <row r="53" spans="2:9" ht="50.1" customHeight="1">
      <c r="B53" s="34"/>
      <c r="C53" s="670"/>
      <c r="D53" s="681"/>
      <c r="E53" s="463" t="s">
        <v>206</v>
      </c>
      <c r="F53" s="680" t="str">
        <f>VLOOKUP($L$7,Kim!$B$14:$L$53,11)</f>
        <v>Selalu Konsisten dalam menunjukkan prilaku jujur,disiplin,tanggung jawab,peduli,santun dan hormat pada guru dalam kegiatan pembelajaran di dalam kelas</v>
      </c>
      <c r="G53" s="680"/>
      <c r="H53" s="680"/>
      <c r="I53" s="34"/>
    </row>
    <row r="54" spans="2:9" ht="21" customHeight="1">
      <c r="B54" s="34"/>
      <c r="C54" s="449"/>
      <c r="D54" s="450" t="s">
        <v>254</v>
      </c>
      <c r="E54" s="480"/>
      <c r="F54" s="485"/>
      <c r="G54" s="485"/>
      <c r="H54" s="486"/>
      <c r="I54" s="34"/>
    </row>
    <row r="55" spans="2:9" ht="80.099999999999994" customHeight="1">
      <c r="B55" s="34"/>
      <c r="C55" s="670">
        <v>1</v>
      </c>
      <c r="D55" s="681" t="str">
        <f>DataGuru!C35</f>
        <v>Ekonomi</v>
      </c>
      <c r="E55" s="463" t="s">
        <v>39</v>
      </c>
      <c r="F55" s="680" t="str">
        <f>VLOOKUP($L$7,'Eko (LM)'!$B$14:$L$53,9)</f>
        <v>Sangat Mampu dalam  memahami, menjelaskan, menerapkan, dan menganalisis pengetahuan faktual, konseptual, prosedural yang berkaitan dengan  indeks harga dan inflasikebijakan moneterdan kebijakan fiskalperan pelaku ekonomi dalam sistem perekonomian indonesiapasar modal dalam perekonomian</v>
      </c>
      <c r="G55" s="680"/>
      <c r="H55" s="680"/>
      <c r="I55" s="34"/>
    </row>
    <row r="56" spans="2:9" ht="54.75" customHeight="1">
      <c r="B56" s="34"/>
      <c r="C56" s="670"/>
      <c r="D56" s="681"/>
      <c r="E56" s="463" t="s">
        <v>207</v>
      </c>
      <c r="F56" s="680" t="str">
        <f>VLOOKUP($L$7,'Eko (LM)'!$B$14:$L$53,10)</f>
        <v>Terampil  dalam menerapkan konsep yang berkaitan dengan  indeks harga dan inflasikebijakan moneterdan kebijakan fiskalperan pelaku ekonomi dalam sistem perekonomian indonesiapasar modal dalam perekonomian</v>
      </c>
      <c r="G56" s="680"/>
      <c r="H56" s="680"/>
      <c r="I56" s="34"/>
    </row>
    <row r="57" spans="2:9" ht="42" customHeight="1">
      <c r="B57" s="34"/>
      <c r="C57" s="670"/>
      <c r="D57" s="681"/>
      <c r="E57" s="463" t="s">
        <v>206</v>
      </c>
      <c r="F57" s="680" t="str">
        <f>VLOOKUP($L$7,'Eko (LM)'!$B$14:$L$53,11)</f>
        <v>Selalu Konsisten dalam menunjukkan prilaku jujur,disiplin,tanggung jawab,peduli dan  dalam kegiatan pembelajaran di dalam kelas</v>
      </c>
      <c r="G57" s="680"/>
      <c r="H57" s="680"/>
      <c r="I57" s="34"/>
    </row>
    <row r="58" spans="2:9" ht="15" customHeight="1">
      <c r="B58" s="34"/>
      <c r="C58" s="438"/>
      <c r="D58" s="438"/>
      <c r="E58" s="438"/>
      <c r="F58" s="438"/>
      <c r="G58" s="438"/>
      <c r="H58" s="438"/>
      <c r="I58" s="34"/>
    </row>
    <row r="59" spans="2:9" ht="15" customHeight="1">
      <c r="B59" s="34"/>
      <c r="C59" s="438"/>
      <c r="D59" s="438"/>
      <c r="E59" s="438"/>
      <c r="F59" s="438"/>
      <c r="G59" s="438"/>
      <c r="H59" s="438"/>
      <c r="I59" s="34"/>
    </row>
    <row r="60" spans="2:9" ht="15" customHeight="1">
      <c r="B60" s="34"/>
      <c r="C60" s="438"/>
      <c r="D60" s="438"/>
      <c r="E60" s="438"/>
      <c r="F60" s="438"/>
      <c r="G60" s="438"/>
      <c r="H60" s="438"/>
      <c r="I60" s="34"/>
    </row>
    <row r="61" spans="2:9">
      <c r="B61" s="34"/>
      <c r="C61" s="438"/>
      <c r="D61" s="438"/>
      <c r="E61" s="438"/>
      <c r="F61" s="438"/>
      <c r="G61" s="438"/>
      <c r="H61" s="438"/>
      <c r="I61" s="34"/>
    </row>
    <row r="62" spans="2:9">
      <c r="B62" s="34"/>
      <c r="C62" s="438"/>
      <c r="D62" s="438" t="s">
        <v>28</v>
      </c>
      <c r="E62" s="438"/>
      <c r="F62" s="451"/>
      <c r="G62" s="452" t="s">
        <v>270</v>
      </c>
      <c r="H62" s="453"/>
      <c r="I62" s="34"/>
    </row>
    <row r="63" spans="2:9">
      <c r="B63" s="34"/>
      <c r="C63" s="438"/>
      <c r="D63" s="438"/>
      <c r="E63" s="438"/>
      <c r="F63" s="454"/>
      <c r="G63" s="455" t="s">
        <v>271</v>
      </c>
      <c r="H63" s="454"/>
      <c r="I63" s="34"/>
    </row>
    <row r="64" spans="2:9">
      <c r="B64" s="34"/>
      <c r="C64" s="438"/>
      <c r="D64" s="438"/>
      <c r="E64" s="438"/>
      <c r="F64" s="454"/>
      <c r="G64" s="455" t="s">
        <v>719</v>
      </c>
      <c r="H64" s="454"/>
      <c r="I64" s="34"/>
    </row>
    <row r="65" spans="2:9">
      <c r="B65" s="34"/>
      <c r="C65" s="438"/>
      <c r="D65" s="438"/>
      <c r="E65" s="438"/>
      <c r="F65" s="454"/>
      <c r="G65" s="455" t="s">
        <v>625</v>
      </c>
      <c r="H65" s="454"/>
      <c r="I65" s="34"/>
    </row>
    <row r="66" spans="2:9">
      <c r="B66" s="34"/>
      <c r="C66" s="438"/>
      <c r="D66" s="456" t="str">
        <f>DataGuru!$D$14</f>
        <v>Dra.NENG MULYETTI</v>
      </c>
      <c r="E66" s="438"/>
      <c r="F66" s="454"/>
      <c r="G66" s="455" t="s">
        <v>624</v>
      </c>
      <c r="H66" s="454"/>
      <c r="I66" s="34"/>
    </row>
    <row r="67" spans="2:9">
      <c r="B67" s="34"/>
      <c r="C67" s="438"/>
      <c r="D67" s="438" t="str">
        <f>DataGuru!$D$15</f>
        <v>Nip. 196409181989032003</v>
      </c>
      <c r="E67" s="438"/>
      <c r="F67" s="454"/>
      <c r="G67" s="455"/>
      <c r="H67" s="454"/>
      <c r="I67" s="34"/>
    </row>
    <row r="68" spans="2:9">
      <c r="B68" s="34"/>
      <c r="C68" s="438"/>
      <c r="D68" s="438"/>
      <c r="E68" s="438"/>
      <c r="F68" s="457"/>
      <c r="G68" s="458" t="str">
        <f>DataGuru!$D$16</f>
        <v>Padang, 20  Juni 2015</v>
      </c>
      <c r="H68" s="454"/>
      <c r="I68" s="34"/>
    </row>
    <row r="69" spans="2:9">
      <c r="B69" s="34"/>
      <c r="C69" s="438"/>
      <c r="D69" s="438" t="s">
        <v>247</v>
      </c>
      <c r="E69" s="438"/>
      <c r="F69" s="454"/>
      <c r="G69" s="455" t="s">
        <v>187</v>
      </c>
      <c r="H69" s="454"/>
      <c r="I69" s="34"/>
    </row>
    <row r="70" spans="2:9">
      <c r="B70" s="34"/>
      <c r="C70" s="438"/>
      <c r="D70" s="438" t="s">
        <v>202</v>
      </c>
      <c r="E70" s="438"/>
      <c r="F70" s="454"/>
      <c r="G70" s="455"/>
      <c r="H70" s="454"/>
      <c r="I70" s="34"/>
    </row>
    <row r="71" spans="2:9">
      <c r="B71" s="34"/>
      <c r="C71" s="438"/>
      <c r="D71" s="438"/>
      <c r="E71" s="438"/>
      <c r="F71" s="454"/>
      <c r="G71" s="455"/>
      <c r="H71" s="454"/>
      <c r="I71" s="34"/>
    </row>
    <row r="72" spans="2:9">
      <c r="B72" s="34"/>
      <c r="C72" s="438"/>
      <c r="D72" s="438"/>
      <c r="E72" s="438"/>
      <c r="F72" s="454"/>
      <c r="G72" s="455"/>
      <c r="H72" s="454"/>
      <c r="I72" s="34"/>
    </row>
    <row r="73" spans="2:9">
      <c r="B73" s="34"/>
      <c r="C73" s="438"/>
      <c r="D73" s="438"/>
      <c r="E73" s="438"/>
      <c r="F73" s="451"/>
      <c r="G73" s="459" t="str">
        <f>DataGuru!D12</f>
        <v>ABINUL HAKIM, S.Pd, M.Si</v>
      </c>
      <c r="H73" s="454"/>
      <c r="I73" s="34"/>
    </row>
    <row r="74" spans="2:9">
      <c r="B74" s="34"/>
      <c r="C74" s="438"/>
      <c r="D74" s="438" t="s">
        <v>204</v>
      </c>
      <c r="E74" s="438"/>
      <c r="F74" s="451"/>
      <c r="G74" s="460" t="str">
        <f>DataGuru!D13</f>
        <v>Nip. 196904091994011001</v>
      </c>
      <c r="H74" s="454"/>
      <c r="I74" s="34"/>
    </row>
    <row r="75" spans="2:9" ht="18" customHeight="1">
      <c r="B75" s="34"/>
      <c r="C75" s="438"/>
      <c r="D75" s="438"/>
      <c r="E75" s="438"/>
      <c r="F75" s="457"/>
      <c r="G75" s="461"/>
      <c r="H75" s="462"/>
      <c r="I75" s="34"/>
    </row>
    <row r="76" spans="2:9">
      <c r="B76" s="34"/>
      <c r="C76" s="369"/>
      <c r="D76" s="369"/>
      <c r="E76" s="369"/>
      <c r="F76" s="369"/>
      <c r="G76" s="369"/>
      <c r="H76" s="369"/>
      <c r="I76" s="34"/>
    </row>
    <row r="77" spans="2:9">
      <c r="B77" s="34"/>
      <c r="C77" s="34"/>
      <c r="D77" s="34"/>
      <c r="E77" s="34"/>
      <c r="F77" s="34"/>
      <c r="G77" s="34"/>
      <c r="H77" s="34"/>
      <c r="I77" s="34"/>
    </row>
    <row r="78" spans="2:9">
      <c r="B78" s="34"/>
      <c r="I78" s="34"/>
    </row>
    <row r="79" spans="2:9">
      <c r="B79" s="34"/>
      <c r="I79" s="34"/>
    </row>
    <row r="80" spans="2:9">
      <c r="B80" s="34"/>
      <c r="I80" s="34"/>
    </row>
  </sheetData>
  <protectedRanges>
    <protectedRange password="DD40" sqref="G3:H5" name="Range1_1"/>
  </protectedRanges>
  <mergeCells count="81">
    <mergeCell ref="L7:L8"/>
    <mergeCell ref="F57:H57"/>
    <mergeCell ref="L4:L5"/>
    <mergeCell ref="F45:H45"/>
    <mergeCell ref="F53:H53"/>
    <mergeCell ref="F55:H55"/>
    <mergeCell ref="F56:H56"/>
    <mergeCell ref="F37:H37"/>
    <mergeCell ref="F51:H51"/>
    <mergeCell ref="F49:H49"/>
    <mergeCell ref="F34:H34"/>
    <mergeCell ref="F52:H52"/>
    <mergeCell ref="F50:H50"/>
    <mergeCell ref="F38:H38"/>
    <mergeCell ref="F39:H39"/>
    <mergeCell ref="F42:H42"/>
    <mergeCell ref="F36:H36"/>
    <mergeCell ref="F33:H33"/>
    <mergeCell ref="F20:H20"/>
    <mergeCell ref="F21:H21"/>
    <mergeCell ref="F22:H22"/>
    <mergeCell ref="F23:H23"/>
    <mergeCell ref="F32:H32"/>
    <mergeCell ref="F24:H24"/>
    <mergeCell ref="F25:H25"/>
    <mergeCell ref="F26:H26"/>
    <mergeCell ref="F27:H27"/>
    <mergeCell ref="F28:H28"/>
    <mergeCell ref="F31:H31"/>
    <mergeCell ref="F35:H35"/>
    <mergeCell ref="F46:H46"/>
    <mergeCell ref="F47:H47"/>
    <mergeCell ref="F48:H48"/>
    <mergeCell ref="F43:H43"/>
    <mergeCell ref="D55:D57"/>
    <mergeCell ref="F44:H44"/>
    <mergeCell ref="C48:C50"/>
    <mergeCell ref="C51:C53"/>
    <mergeCell ref="D48:D50"/>
    <mergeCell ref="D51:D53"/>
    <mergeCell ref="C55:C57"/>
    <mergeCell ref="C45:C47"/>
    <mergeCell ref="D31:D33"/>
    <mergeCell ref="C31:C33"/>
    <mergeCell ref="C34:C36"/>
    <mergeCell ref="C37:C39"/>
    <mergeCell ref="C42:C44"/>
    <mergeCell ref="D37:D39"/>
    <mergeCell ref="D42:D44"/>
    <mergeCell ref="D45:D47"/>
    <mergeCell ref="C17:C19"/>
    <mergeCell ref="F11:H11"/>
    <mergeCell ref="F12:H12"/>
    <mergeCell ref="F13:H13"/>
    <mergeCell ref="F14:H14"/>
    <mergeCell ref="F19:H19"/>
    <mergeCell ref="F15:H15"/>
    <mergeCell ref="F16:H16"/>
    <mergeCell ref="F17:H17"/>
    <mergeCell ref="F18:H18"/>
    <mergeCell ref="D17:D19"/>
    <mergeCell ref="C20:C22"/>
    <mergeCell ref="C23:C25"/>
    <mergeCell ref="D20:D22"/>
    <mergeCell ref="D23:D25"/>
    <mergeCell ref="D34:D36"/>
    <mergeCell ref="C26:C28"/>
    <mergeCell ref="D26:D28"/>
    <mergeCell ref="G3:H3"/>
    <mergeCell ref="G4:H4"/>
    <mergeCell ref="G5:H5"/>
    <mergeCell ref="C11:C13"/>
    <mergeCell ref="C14:C16"/>
    <mergeCell ref="C9:D9"/>
    <mergeCell ref="C3:D3"/>
    <mergeCell ref="C4:D4"/>
    <mergeCell ref="C5:D5"/>
    <mergeCell ref="C6:D6"/>
    <mergeCell ref="D11:D13"/>
    <mergeCell ref="D14:D16"/>
    <mergeCell ref="F9:H9"/>
  </mergeCells>
  <hyperlinks>
    <hyperlink ref="L4:L5" location="UTAMA!A1" display="MENU"/>
    <hyperlink ref="L2" location="'RAP13'!A1" display="Back"/>
  </hyperlinks>
  <printOptions horizontalCentered="1"/>
  <pageMargins left="0.511811023622047" right="0.23622047244094499" top="0.80118110200000003" bottom="0.20866141699999999" header="0.31496062992126" footer="0.31496062992126"/>
  <pageSetup paperSize="9" scale="86" firstPageNumber="4" orientation="portrait" useFirstPageNumber="1" horizontalDpi="4294967293" verticalDpi="4294967293" r:id="rId1"/>
  <headerFooter>
    <oddFooter>&amp;C&amp;P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70" r:id="rId4" name="Drop Down 2">
              <controlPr defaultSize="0" autoLine="0" autoPict="0">
                <anchor moveWithCells="1">
                  <from>
                    <xdr:col>10</xdr:col>
                    <xdr:colOff>114300</xdr:colOff>
                    <xdr:row>8</xdr:row>
                    <xdr:rowOff>9525</xdr:rowOff>
                  </from>
                  <to>
                    <xdr:col>12</xdr:col>
                    <xdr:colOff>361950</xdr:colOff>
                    <xdr:row>9</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B050"/>
  </sheetPr>
  <dimension ref="B2:AF138"/>
  <sheetViews>
    <sheetView showGridLines="0" tabSelected="1" topLeftCell="A82" zoomScale="110" zoomScaleNormal="110" workbookViewId="0">
      <selection activeCell="E14" sqref="E14:E16"/>
    </sheetView>
  </sheetViews>
  <sheetFormatPr defaultColWidth="6.42578125" defaultRowHeight="16.5"/>
  <cols>
    <col min="1" max="1" width="7.5703125" style="162" customWidth="1"/>
    <col min="2" max="2" width="3.140625" style="183" customWidth="1"/>
    <col min="3" max="3" width="4.7109375" style="162" customWidth="1"/>
    <col min="4" max="4" width="9.7109375" style="162" customWidth="1"/>
    <col min="5" max="5" width="17.42578125" style="162" customWidth="1"/>
    <col min="6" max="6" width="6.85546875" style="162" customWidth="1"/>
    <col min="7" max="7" width="6.140625" style="162" customWidth="1"/>
    <col min="8" max="8" width="7.42578125" style="162" customWidth="1"/>
    <col min="9" max="9" width="4.28515625" style="162" customWidth="1"/>
    <col min="10" max="10" width="3.85546875" style="162" customWidth="1"/>
    <col min="11" max="11" width="5" style="162" customWidth="1"/>
    <col min="12" max="12" width="5.28515625" style="162" customWidth="1"/>
    <col min="13" max="13" width="4.7109375" style="162" customWidth="1"/>
    <col min="14" max="14" width="6" style="162" customWidth="1"/>
    <col min="15" max="15" width="6.42578125" style="162" customWidth="1"/>
    <col min="16" max="16" width="4.5703125" style="162" customWidth="1"/>
    <col min="17" max="17" width="4.28515625" style="162" customWidth="1"/>
    <col min="18" max="18" width="4.7109375" style="162" customWidth="1"/>
    <col min="19" max="19" width="4.28515625" style="162" customWidth="1"/>
    <col min="20" max="20" width="4.7109375" style="162" customWidth="1"/>
    <col min="21" max="21" width="3.5703125" style="162" customWidth="1"/>
    <col min="22" max="22" width="5.5703125" style="162" bestFit="1" customWidth="1"/>
    <col min="23" max="25" width="4.28515625" style="162" customWidth="1"/>
    <col min="26" max="26" width="3" style="162" customWidth="1"/>
    <col min="27" max="27" width="8.140625" style="162" hidden="1" customWidth="1"/>
    <col min="28" max="16384" width="6.42578125" style="162"/>
  </cols>
  <sheetData>
    <row r="2" spans="2:32" ht="12.75" customHeight="1">
      <c r="B2" s="160"/>
      <c r="C2" s="161"/>
      <c r="D2" s="161"/>
      <c r="E2" s="161"/>
      <c r="F2" s="161"/>
      <c r="G2" s="161"/>
      <c r="H2" s="161"/>
      <c r="I2" s="161"/>
      <c r="J2" s="161"/>
      <c r="K2" s="161"/>
      <c r="L2" s="161"/>
      <c r="M2" s="161"/>
      <c r="N2" s="161"/>
      <c r="O2" s="161"/>
      <c r="P2" s="161"/>
      <c r="Q2" s="161"/>
      <c r="R2" s="161"/>
      <c r="S2" s="161"/>
      <c r="T2" s="161"/>
      <c r="U2" s="161"/>
      <c r="V2" s="161"/>
      <c r="W2" s="161"/>
      <c r="X2" s="161"/>
      <c r="Y2" s="161"/>
      <c r="Z2" s="161"/>
    </row>
    <row r="3" spans="2:32" ht="18">
      <c r="B3" s="161"/>
      <c r="C3" s="184" t="s">
        <v>232</v>
      </c>
      <c r="D3" s="185"/>
      <c r="E3" s="185"/>
      <c r="F3" s="185"/>
      <c r="G3" s="185"/>
      <c r="H3" s="185"/>
      <c r="I3" s="185"/>
      <c r="J3" s="185"/>
      <c r="K3" s="185"/>
      <c r="L3" s="185"/>
      <c r="M3" s="185"/>
      <c r="N3" s="185"/>
      <c r="O3" s="185"/>
      <c r="P3" s="185"/>
      <c r="Q3" s="185"/>
      <c r="R3" s="185"/>
      <c r="S3" s="185"/>
      <c r="T3" s="185"/>
      <c r="U3" s="185"/>
      <c r="V3" s="185"/>
      <c r="W3" s="185"/>
      <c r="X3" s="185"/>
      <c r="Y3" s="185"/>
      <c r="Z3" s="161"/>
    </row>
    <row r="4" spans="2:32" ht="18">
      <c r="B4" s="161"/>
      <c r="C4" s="184" t="str">
        <f>DataGuru!D7</f>
        <v>SMA NEGERI 4 PADANG</v>
      </c>
      <c r="D4" s="185"/>
      <c r="E4" s="185"/>
      <c r="F4" s="185"/>
      <c r="G4" s="185"/>
      <c r="H4" s="185"/>
      <c r="I4" s="185"/>
      <c r="J4" s="185"/>
      <c r="K4" s="185"/>
      <c r="L4" s="185"/>
      <c r="M4" s="185"/>
      <c r="N4" s="185"/>
      <c r="O4" s="185"/>
      <c r="P4" s="185"/>
      <c r="Q4" s="185"/>
      <c r="R4" s="185"/>
      <c r="S4" s="185"/>
      <c r="T4" s="185"/>
      <c r="U4" s="185"/>
      <c r="V4" s="185"/>
      <c r="W4" s="185"/>
      <c r="X4" s="185"/>
      <c r="Y4" s="185"/>
      <c r="Z4" s="161"/>
    </row>
    <row r="5" spans="2:32" ht="18">
      <c r="B5" s="161"/>
      <c r="C5" s="184" t="str">
        <f>DataGuru!D8</f>
        <v>Jl. Linggar Jati no.1 Lubuk Begalung</v>
      </c>
      <c r="D5" s="185"/>
      <c r="E5" s="185"/>
      <c r="F5" s="185"/>
      <c r="G5" s="185"/>
      <c r="H5" s="185"/>
      <c r="I5" s="185"/>
      <c r="J5" s="185"/>
      <c r="K5" s="185"/>
      <c r="L5" s="185"/>
      <c r="M5" s="186"/>
      <c r="N5" s="186"/>
      <c r="O5" s="186"/>
      <c r="P5" s="186"/>
      <c r="Q5" s="186"/>
      <c r="R5" s="186"/>
      <c r="S5" s="186"/>
      <c r="T5" s="186"/>
      <c r="U5" s="186"/>
      <c r="V5" s="186"/>
      <c r="W5" s="186"/>
      <c r="X5" s="186"/>
      <c r="Y5" s="185"/>
      <c r="Z5" s="161"/>
      <c r="AC5" s="717" t="s">
        <v>243</v>
      </c>
      <c r="AD5" s="718"/>
    </row>
    <row r="6" spans="2:32" ht="13.5" customHeight="1">
      <c r="B6" s="161"/>
      <c r="C6" s="22" t="s">
        <v>4</v>
      </c>
      <c r="D6" s="24"/>
      <c r="E6" s="185"/>
      <c r="F6" s="24" t="s">
        <v>35</v>
      </c>
      <c r="G6" s="187" t="str">
        <f>DataGuru!D10</f>
        <v>XI MIA 4</v>
      </c>
      <c r="H6" s="185"/>
      <c r="I6" s="185"/>
      <c r="J6" s="185"/>
      <c r="K6" s="185"/>
      <c r="L6" s="185"/>
      <c r="M6" s="186"/>
      <c r="N6" s="186"/>
      <c r="O6" s="186"/>
      <c r="P6" s="186"/>
      <c r="Q6" s="186"/>
      <c r="R6" s="186"/>
      <c r="S6" s="186"/>
      <c r="T6" s="186"/>
      <c r="U6" s="186"/>
      <c r="V6" s="186"/>
      <c r="W6" s="186"/>
      <c r="X6" s="186"/>
      <c r="Y6" s="186"/>
      <c r="Z6" s="161"/>
      <c r="AC6" s="719"/>
      <c r="AD6" s="720"/>
    </row>
    <row r="7" spans="2:32" ht="18.75">
      <c r="B7" s="161"/>
      <c r="C7" s="22" t="s">
        <v>229</v>
      </c>
      <c r="D7" s="24"/>
      <c r="E7" s="185"/>
      <c r="F7" s="24" t="s">
        <v>35</v>
      </c>
      <c r="G7" s="187" t="str">
        <f>DataGuru!D11</f>
        <v>2</v>
      </c>
      <c r="H7" s="185"/>
      <c r="I7" s="185"/>
      <c r="J7" s="185"/>
      <c r="K7" s="185"/>
      <c r="L7" s="185"/>
      <c r="M7" s="185"/>
      <c r="N7" s="185"/>
      <c r="O7" s="185"/>
      <c r="P7" s="185"/>
      <c r="Q7" s="185"/>
      <c r="R7" s="185"/>
      <c r="S7" s="185"/>
      <c r="T7" s="185"/>
      <c r="U7" s="185"/>
      <c r="V7" s="185"/>
      <c r="W7" s="185"/>
      <c r="X7" s="185"/>
      <c r="Y7" s="185"/>
      <c r="Z7" s="161"/>
      <c r="AC7" s="721"/>
      <c r="AD7" s="722"/>
    </row>
    <row r="8" spans="2:32" ht="18.75">
      <c r="B8" s="161"/>
      <c r="C8" s="22" t="s">
        <v>233</v>
      </c>
      <c r="D8" s="24"/>
      <c r="E8" s="185"/>
      <c r="F8" s="24" t="s">
        <v>35</v>
      </c>
      <c r="G8" s="184" t="str">
        <f>DataGuru!D9</f>
        <v>2014/2015</v>
      </c>
      <c r="H8" s="185"/>
      <c r="I8" s="185"/>
      <c r="J8" s="185"/>
      <c r="K8" s="185"/>
      <c r="L8" s="185"/>
      <c r="M8" s="185"/>
      <c r="N8" s="185"/>
      <c r="O8" s="185"/>
      <c r="P8" s="185"/>
      <c r="Q8" s="185"/>
      <c r="R8" s="185"/>
      <c r="S8" s="185"/>
      <c r="T8" s="185"/>
      <c r="U8" s="185"/>
      <c r="V8" s="185"/>
      <c r="W8" s="185"/>
      <c r="X8" s="185"/>
      <c r="Y8" s="185"/>
      <c r="Z8" s="161"/>
    </row>
    <row r="9" spans="2:32" ht="18.75">
      <c r="B9" s="161"/>
      <c r="C9" s="22"/>
      <c r="D9" s="24"/>
      <c r="E9" s="185"/>
      <c r="F9" s="24"/>
      <c r="G9" s="185"/>
      <c r="H9" s="185"/>
      <c r="I9" s="185"/>
      <c r="J9" s="185"/>
      <c r="K9" s="185"/>
      <c r="L9" s="185"/>
      <c r="M9" s="185"/>
      <c r="N9" s="185"/>
      <c r="O9" s="185"/>
      <c r="P9" s="185"/>
      <c r="Q9" s="185"/>
      <c r="R9" s="185"/>
      <c r="S9" s="185"/>
      <c r="T9" s="185"/>
      <c r="U9" s="185"/>
      <c r="V9" s="185"/>
      <c r="W9" s="185"/>
      <c r="X9" s="185"/>
      <c r="Y9" s="185"/>
      <c r="Z9" s="161"/>
    </row>
    <row r="10" spans="2:32" ht="17.25" customHeight="1" thickBot="1">
      <c r="B10" s="161"/>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61"/>
    </row>
    <row r="11" spans="2:32" s="165" customFormat="1" ht="30" customHeight="1" thickTop="1">
      <c r="B11" s="163"/>
      <c r="C11" s="712" t="s">
        <v>234</v>
      </c>
      <c r="D11" s="712" t="s">
        <v>20</v>
      </c>
      <c r="E11" s="712" t="s">
        <v>54</v>
      </c>
      <c r="F11" s="188"/>
      <c r="G11" s="723" t="s">
        <v>235</v>
      </c>
      <c r="H11" s="724"/>
      <c r="I11" s="724"/>
      <c r="J11" s="724"/>
      <c r="K11" s="724"/>
      <c r="L11" s="724"/>
      <c r="M11" s="724"/>
      <c r="N11" s="724"/>
      <c r="O11" s="724"/>
      <c r="P11" s="724"/>
      <c r="Q11" s="724"/>
      <c r="R11" s="724"/>
      <c r="S11" s="724"/>
      <c r="T11" s="724"/>
      <c r="U11" s="724"/>
      <c r="V11" s="724"/>
      <c r="W11" s="723" t="s">
        <v>236</v>
      </c>
      <c r="X11" s="724"/>
      <c r="Y11" s="725"/>
      <c r="Z11" s="164"/>
    </row>
    <row r="12" spans="2:32" s="165" customFormat="1" ht="100.5" customHeight="1">
      <c r="B12" s="163"/>
      <c r="C12" s="713"/>
      <c r="D12" s="713"/>
      <c r="E12" s="713"/>
      <c r="F12" s="189" t="s">
        <v>237</v>
      </c>
      <c r="G12" s="735" t="s">
        <v>208</v>
      </c>
      <c r="H12" s="735" t="s">
        <v>209</v>
      </c>
      <c r="I12" s="735" t="s">
        <v>43</v>
      </c>
      <c r="J12" s="735" t="s">
        <v>15</v>
      </c>
      <c r="K12" s="735" t="s">
        <v>210</v>
      </c>
      <c r="L12" s="735" t="s">
        <v>44</v>
      </c>
      <c r="M12" s="735" t="s">
        <v>16</v>
      </c>
      <c r="N12" s="735" t="s">
        <v>211</v>
      </c>
      <c r="O12" s="735" t="s">
        <v>212</v>
      </c>
      <c r="P12" s="736" t="str">
        <f>DataGuru!C30</f>
        <v>Matematika</v>
      </c>
      <c r="Q12" s="736" t="str">
        <f>DataGuru!C31</f>
        <v>Biologi</v>
      </c>
      <c r="R12" s="736" t="str">
        <f>DataGuru!C32</f>
        <v>Fisika</v>
      </c>
      <c r="S12" s="736" t="str">
        <f>DataGuru!C33</f>
        <v>Kimia</v>
      </c>
      <c r="T12" s="736" t="str">
        <f>DataGuru!C35</f>
        <v>Ekonomi</v>
      </c>
      <c r="U12" s="736" t="str">
        <f>DataGuru!C36</f>
        <v>-</v>
      </c>
      <c r="V12" s="736" t="s">
        <v>253</v>
      </c>
      <c r="W12" s="737" t="s">
        <v>238</v>
      </c>
      <c r="X12" s="737" t="s">
        <v>239</v>
      </c>
      <c r="Y12" s="737" t="s">
        <v>23</v>
      </c>
      <c r="Z12" s="164"/>
    </row>
    <row r="13" spans="2:32" s="165" customFormat="1" ht="20.25" customHeight="1" thickBot="1">
      <c r="B13" s="163"/>
      <c r="C13" s="714"/>
      <c r="D13" s="714"/>
      <c r="E13" s="714"/>
      <c r="F13" s="190" t="s">
        <v>240</v>
      </c>
      <c r="G13" s="191">
        <v>1</v>
      </c>
      <c r="H13" s="192">
        <v>2</v>
      </c>
      <c r="I13" s="191">
        <v>3</v>
      </c>
      <c r="J13" s="192">
        <v>4</v>
      </c>
      <c r="K13" s="191">
        <v>5</v>
      </c>
      <c r="L13" s="192">
        <v>6</v>
      </c>
      <c r="M13" s="191">
        <v>7</v>
      </c>
      <c r="N13" s="192">
        <v>8</v>
      </c>
      <c r="O13" s="191">
        <v>9</v>
      </c>
      <c r="P13" s="192">
        <v>10</v>
      </c>
      <c r="Q13" s="191">
        <v>11</v>
      </c>
      <c r="R13" s="192">
        <v>12</v>
      </c>
      <c r="S13" s="191">
        <v>13</v>
      </c>
      <c r="T13" s="193">
        <v>14</v>
      </c>
      <c r="U13" s="193"/>
      <c r="V13" s="192"/>
      <c r="W13" s="194"/>
      <c r="X13" s="194"/>
      <c r="Y13" s="194"/>
      <c r="Z13" s="164"/>
      <c r="AA13" s="166"/>
    </row>
    <row r="14" spans="2:32" s="170" customFormat="1" ht="15" customHeight="1" thickTop="1">
      <c r="B14" s="167"/>
      <c r="C14" s="715">
        <v>1</v>
      </c>
      <c r="D14" s="716" t="str">
        <f>DataSiswa!B8</f>
        <v>9986980442</v>
      </c>
      <c r="E14" s="738" t="str">
        <f>DataSiswa!C8</f>
        <v>Aditya Taufik Sastra</v>
      </c>
      <c r="F14" s="195" t="s">
        <v>241</v>
      </c>
      <c r="G14" s="195">
        <f>AG!$E$14</f>
        <v>87</v>
      </c>
      <c r="H14" s="195">
        <f>PPKN!$E$14</f>
        <v>92</v>
      </c>
      <c r="I14" s="195">
        <f>B.ind!$E$14</f>
        <v>83</v>
      </c>
      <c r="J14" s="195">
        <f>'Mat W'!$E$14</f>
        <v>86</v>
      </c>
      <c r="K14" s="195">
        <f>Sej!$E$14</f>
        <v>85</v>
      </c>
      <c r="L14" s="195">
        <f>B.Ing!$E$14</f>
        <v>86</v>
      </c>
      <c r="M14" s="195">
        <f>Seni!$E$14</f>
        <v>86</v>
      </c>
      <c r="N14" s="195">
        <f>Jas!$E$14</f>
        <v>90</v>
      </c>
      <c r="O14" s="195">
        <f>Pra!$E$14</f>
        <v>86</v>
      </c>
      <c r="P14" s="195">
        <f>'Mat P'!$E$14</f>
        <v>85</v>
      </c>
      <c r="Q14" s="195">
        <f>Bio!$E$14</f>
        <v>87</v>
      </c>
      <c r="R14" s="195">
        <f>Fis!$E$14</f>
        <v>84</v>
      </c>
      <c r="S14" s="195">
        <f>Kim!$E$14</f>
        <v>88</v>
      </c>
      <c r="T14" s="195">
        <f>'Eko (LM)'!$E$14</f>
        <v>85</v>
      </c>
      <c r="U14" s="195">
        <f>'Lin2'!$E$14</f>
        <v>0</v>
      </c>
      <c r="V14" s="289">
        <f>AVERAGE(G14:U14)</f>
        <v>80.666666666666671</v>
      </c>
      <c r="W14" s="708">
        <f>Absen!G9</f>
        <v>1</v>
      </c>
      <c r="X14" s="709">
        <f>Absen!H9</f>
        <v>1</v>
      </c>
      <c r="Y14" s="708">
        <f>Absen!I9</f>
        <v>2</v>
      </c>
      <c r="Z14" s="168"/>
      <c r="AA14" s="169">
        <f>AVERAGE(G14:T14)</f>
        <v>86.428571428571431</v>
      </c>
      <c r="AF14" s="171"/>
    </row>
    <row r="15" spans="2:32" s="170" customFormat="1" ht="15" customHeight="1">
      <c r="B15" s="167"/>
      <c r="C15" s="706"/>
      <c r="D15" s="703"/>
      <c r="E15" s="739"/>
      <c r="F15" s="197" t="s">
        <v>242</v>
      </c>
      <c r="G15" s="197">
        <f>AG!$F$14</f>
        <v>94</v>
      </c>
      <c r="H15" s="197">
        <f>PPKN!$F$14</f>
        <v>90</v>
      </c>
      <c r="I15" s="197">
        <f>B.ind!$F$14</f>
        <v>83</v>
      </c>
      <c r="J15" s="197">
        <f>'Mat W'!$F$14</f>
        <v>87</v>
      </c>
      <c r="K15" s="197">
        <f>Sej!$F$14</f>
        <v>85</v>
      </c>
      <c r="L15" s="197">
        <f>B.Ing!$F$14</f>
        <v>84</v>
      </c>
      <c r="M15" s="197">
        <f>Seni!$F$14</f>
        <v>88</v>
      </c>
      <c r="N15" s="197">
        <f>Jas!$F$14</f>
        <v>86</v>
      </c>
      <c r="O15" s="197">
        <f>Pra!$F$14</f>
        <v>90</v>
      </c>
      <c r="P15" s="197">
        <f>'Mat P'!$F$14</f>
        <v>82</v>
      </c>
      <c r="Q15" s="197">
        <f>Bio!$F$14</f>
        <v>85</v>
      </c>
      <c r="R15" s="197">
        <f>Fis!$F$14</f>
        <v>85</v>
      </c>
      <c r="S15" s="197">
        <f>Kim!$F$14</f>
        <v>90</v>
      </c>
      <c r="T15" s="197">
        <f>'Eko (LM)'!$F$14</f>
        <v>88</v>
      </c>
      <c r="U15" s="197">
        <f>'Eko (LM)'!$F$14</f>
        <v>88</v>
      </c>
      <c r="V15" s="203">
        <f>AVERAGE(G15:U15)</f>
        <v>87</v>
      </c>
      <c r="W15" s="700"/>
      <c r="X15" s="710"/>
      <c r="Y15" s="700"/>
      <c r="Z15" s="168"/>
      <c r="AA15" s="169"/>
      <c r="AF15" s="171"/>
    </row>
    <row r="16" spans="2:32" s="170" customFormat="1" ht="15" customHeight="1">
      <c r="B16" s="167"/>
      <c r="C16" s="707"/>
      <c r="D16" s="704"/>
      <c r="E16" s="740"/>
      <c r="F16" s="198" t="s">
        <v>40</v>
      </c>
      <c r="G16" s="199" t="str">
        <f>AG!$G$14</f>
        <v>SB</v>
      </c>
      <c r="H16" s="199" t="str">
        <f>PPKN!$G$14</f>
        <v>SB</v>
      </c>
      <c r="I16" s="199" t="str">
        <f>B.ind!$G$14</f>
        <v>B</v>
      </c>
      <c r="J16" s="199" t="str">
        <f>'Mat W'!$G$14</f>
        <v>B</v>
      </c>
      <c r="K16" s="199" t="str">
        <f>Sej!$G$14</f>
        <v>B</v>
      </c>
      <c r="L16" s="199" t="str">
        <f>B.Ing!$G$14</f>
        <v>B</v>
      </c>
      <c r="M16" s="199" t="str">
        <f>Seni!$G$14</f>
        <v>B</v>
      </c>
      <c r="N16" s="199" t="str">
        <f>Jas!$G$14</f>
        <v>B</v>
      </c>
      <c r="O16" s="199" t="str">
        <f>Pra!$G$14</f>
        <v>B</v>
      </c>
      <c r="P16" s="199" t="str">
        <f>'Mat P'!$G$14</f>
        <v>B</v>
      </c>
      <c r="Q16" s="199" t="str">
        <f>Bio!$G$14</f>
        <v>B</v>
      </c>
      <c r="R16" s="199" t="str">
        <f>Fis!$G$14</f>
        <v>B</v>
      </c>
      <c r="S16" s="199" t="str">
        <f>Kim!$G$14</f>
        <v>SB</v>
      </c>
      <c r="T16" s="199" t="str">
        <f>'Eko (LM)'!$G$14</f>
        <v>SB</v>
      </c>
      <c r="U16" s="199">
        <f>'Lin2'!$G$14</f>
        <v>0</v>
      </c>
      <c r="V16" s="200"/>
      <c r="W16" s="701"/>
      <c r="X16" s="711"/>
      <c r="Y16" s="701"/>
      <c r="Z16" s="168"/>
      <c r="AA16" s="169"/>
      <c r="AF16" s="171"/>
    </row>
    <row r="17" spans="2:32" s="170" customFormat="1" ht="15" customHeight="1">
      <c r="B17" s="167"/>
      <c r="C17" s="670">
        <v>2</v>
      </c>
      <c r="D17" s="695" t="str">
        <f>DataSiswa!B9</f>
        <v>9982907972</v>
      </c>
      <c r="E17" s="741" t="str">
        <f>DataSiswa!C9</f>
        <v>Angger Ghufron Pangestu</v>
      </c>
      <c r="F17" s="201" t="s">
        <v>241</v>
      </c>
      <c r="G17" s="201">
        <f>AG!E15</f>
        <v>81</v>
      </c>
      <c r="H17" s="201">
        <f>PPKN!E15</f>
        <v>88</v>
      </c>
      <c r="I17" s="201">
        <f>B.ind!E15</f>
        <v>83</v>
      </c>
      <c r="J17" s="201">
        <f>'Mat W'!E15</f>
        <v>83</v>
      </c>
      <c r="K17" s="201">
        <f>Sej!E15</f>
        <v>86</v>
      </c>
      <c r="L17" s="201">
        <f>B.Ing!E15</f>
        <v>87</v>
      </c>
      <c r="M17" s="201">
        <f>Seni!E15</f>
        <v>85</v>
      </c>
      <c r="N17" s="201">
        <f>Jas!E15</f>
        <v>90</v>
      </c>
      <c r="O17" s="201">
        <f>Pra!E15</f>
        <v>86</v>
      </c>
      <c r="P17" s="201">
        <f>'Mat P'!E15</f>
        <v>82</v>
      </c>
      <c r="Q17" s="201">
        <f>Bio!E15</f>
        <v>85</v>
      </c>
      <c r="R17" s="201">
        <f>Fis!E15</f>
        <v>84</v>
      </c>
      <c r="S17" s="201">
        <f>Kim!E15</f>
        <v>85</v>
      </c>
      <c r="T17" s="201">
        <f>'Eko (LM)'!$E$15</f>
        <v>85</v>
      </c>
      <c r="U17" s="201">
        <f>'Lin2'!$E$15</f>
        <v>0</v>
      </c>
      <c r="V17" s="202">
        <f>AVERAGE(G17:U17)</f>
        <v>79.333333333333329</v>
      </c>
      <c r="W17" s="699">
        <f>Absen!G10</f>
        <v>0</v>
      </c>
      <c r="X17" s="699" t="str">
        <f>Absen!H10</f>
        <v>-</v>
      </c>
      <c r="Y17" s="699">
        <f>Absen!I10</f>
        <v>2</v>
      </c>
      <c r="Z17" s="168"/>
      <c r="AA17" s="169">
        <f>AVERAGE(G17:T17)</f>
        <v>85</v>
      </c>
      <c r="AF17" s="171"/>
    </row>
    <row r="18" spans="2:32" s="170" customFormat="1" ht="15" customHeight="1">
      <c r="B18" s="172"/>
      <c r="C18" s="670"/>
      <c r="D18" s="695" t="e">
        <f>#REF!</f>
        <v>#REF!</v>
      </c>
      <c r="E18" s="741" t="e">
        <f>#REF!</f>
        <v>#REF!</v>
      </c>
      <c r="F18" s="197" t="s">
        <v>242</v>
      </c>
      <c r="G18" s="197">
        <f>AG!F15</f>
        <v>80</v>
      </c>
      <c r="H18" s="197">
        <f>PPKN!F15</f>
        <v>85</v>
      </c>
      <c r="I18" s="197">
        <f>B.ind!F15</f>
        <v>83</v>
      </c>
      <c r="J18" s="197">
        <f>'Mat W'!F15</f>
        <v>84</v>
      </c>
      <c r="K18" s="197">
        <f>Sej!F15</f>
        <v>82</v>
      </c>
      <c r="L18" s="197">
        <f>B.Ing!F15</f>
        <v>85</v>
      </c>
      <c r="M18" s="197">
        <f>Seni!F15</f>
        <v>85</v>
      </c>
      <c r="N18" s="197">
        <f>Jas!F15</f>
        <v>90</v>
      </c>
      <c r="O18" s="197">
        <f>Pra!F15</f>
        <v>92</v>
      </c>
      <c r="P18" s="197">
        <f>'Mat P'!F15</f>
        <v>80</v>
      </c>
      <c r="Q18" s="197">
        <f>Bio!F15</f>
        <v>85</v>
      </c>
      <c r="R18" s="197">
        <f>Fis!F15</f>
        <v>85</v>
      </c>
      <c r="S18" s="197">
        <f>Kim!F15</f>
        <v>85</v>
      </c>
      <c r="T18" s="197">
        <f>'Eko (LM)'!$F$15</f>
        <v>85</v>
      </c>
      <c r="U18" s="197">
        <f>'Lin2'!$F$15</f>
        <v>0</v>
      </c>
      <c r="V18" s="203">
        <f>AVERAGE(G18:U18)</f>
        <v>79.066666666666663</v>
      </c>
      <c r="W18" s="700"/>
      <c r="X18" s="700"/>
      <c r="Y18" s="700"/>
      <c r="Z18" s="168"/>
      <c r="AA18" s="169"/>
      <c r="AF18" s="171"/>
    </row>
    <row r="19" spans="2:32" s="170" customFormat="1" ht="15" customHeight="1">
      <c r="B19" s="172"/>
      <c r="C19" s="670"/>
      <c r="D19" s="695" t="e">
        <f>#REF!</f>
        <v>#REF!</v>
      </c>
      <c r="E19" s="741" t="e">
        <f>#REF!</f>
        <v>#REF!</v>
      </c>
      <c r="F19" s="198" t="s">
        <v>40</v>
      </c>
      <c r="G19" s="197" t="str">
        <f>AG!G15</f>
        <v>B</v>
      </c>
      <c r="H19" s="197" t="str">
        <f>PPKN!G15</f>
        <v>SB</v>
      </c>
      <c r="I19" s="197" t="str">
        <f>B.ind!G15</f>
        <v>B</v>
      </c>
      <c r="J19" s="197" t="str">
        <f>'Mat W'!G15</f>
        <v>B</v>
      </c>
      <c r="K19" s="197" t="str">
        <f>Sej!G15</f>
        <v>B</v>
      </c>
      <c r="L19" s="197" t="str">
        <f>B.Ing!G15</f>
        <v>B</v>
      </c>
      <c r="M19" s="197" t="str">
        <f>Seni!G15</f>
        <v>B</v>
      </c>
      <c r="N19" s="197" t="str">
        <f>Jas!G15</f>
        <v>B</v>
      </c>
      <c r="O19" s="197" t="str">
        <f>Pra!G15</f>
        <v>SB</v>
      </c>
      <c r="P19" s="197" t="str">
        <f>'Mat P'!G15</f>
        <v>B</v>
      </c>
      <c r="Q19" s="197" t="str">
        <f>Bio!G15</f>
        <v>B</v>
      </c>
      <c r="R19" s="197" t="str">
        <f>Fis!G$15</f>
        <v>B</v>
      </c>
      <c r="S19" s="197" t="str">
        <f>Kim!G15</f>
        <v>B</v>
      </c>
      <c r="T19" s="197" t="str">
        <f>'Eko (LM)'!$G$15</f>
        <v>SB</v>
      </c>
      <c r="U19" s="197">
        <f>'Lin2'!$G$15</f>
        <v>0</v>
      </c>
      <c r="V19" s="200"/>
      <c r="W19" s="701"/>
      <c r="X19" s="701"/>
      <c r="Y19" s="701"/>
      <c r="Z19" s="168"/>
      <c r="AA19" s="169"/>
      <c r="AF19" s="171"/>
    </row>
    <row r="20" spans="2:32" s="170" customFormat="1" ht="15" customHeight="1">
      <c r="B20" s="172"/>
      <c r="C20" s="670">
        <v>3</v>
      </c>
      <c r="D20" s="695" t="str">
        <f>DataSiswa!B10</f>
        <v>9983601594</v>
      </c>
      <c r="E20" s="741" t="str">
        <f>DataSiswa!C10</f>
        <v>Anjellia Novia Safitri</v>
      </c>
      <c r="F20" s="201" t="s">
        <v>241</v>
      </c>
      <c r="G20" s="201">
        <f>AG!E16</f>
        <v>85</v>
      </c>
      <c r="H20" s="201">
        <f>PPKN!E16</f>
        <v>86</v>
      </c>
      <c r="I20" s="201">
        <f>B.ind!E16</f>
        <v>84</v>
      </c>
      <c r="J20" s="201">
        <f>'Mat W'!E16</f>
        <v>87</v>
      </c>
      <c r="K20" s="201">
        <f>Sej!E16</f>
        <v>85</v>
      </c>
      <c r="L20" s="201">
        <f>B.Ing!E16</f>
        <v>84</v>
      </c>
      <c r="M20" s="201">
        <f>Seni!E16</f>
        <v>85</v>
      </c>
      <c r="N20" s="201">
        <f>Jas!E16</f>
        <v>87</v>
      </c>
      <c r="O20" s="201">
        <f>Pra!E16</f>
        <v>85</v>
      </c>
      <c r="P20" s="201">
        <f>'Mat P'!E16</f>
        <v>82</v>
      </c>
      <c r="Q20" s="201">
        <f>Bio!E16</f>
        <v>88</v>
      </c>
      <c r="R20" s="201">
        <f>Fis!E16</f>
        <v>85</v>
      </c>
      <c r="S20" s="201">
        <f>Kim!$E$16</f>
        <v>90</v>
      </c>
      <c r="T20" s="194">
        <f>'Eko (LM)'!$E$16</f>
        <v>90</v>
      </c>
      <c r="U20" s="194">
        <f>'Lin2'!$E$16</f>
        <v>0</v>
      </c>
      <c r="V20" s="202">
        <f>AVERAGE(G20:U20)</f>
        <v>80.2</v>
      </c>
      <c r="W20" s="699" t="str">
        <f>Absen!G11</f>
        <v>-</v>
      </c>
      <c r="X20" s="699">
        <f>Absen!H11</f>
        <v>1</v>
      </c>
      <c r="Y20" s="699" t="str">
        <f>Absen!I11</f>
        <v>-</v>
      </c>
      <c r="Z20" s="168"/>
      <c r="AA20" s="169">
        <f>AVERAGE(G20:T20)</f>
        <v>85.928571428571431</v>
      </c>
      <c r="AF20" s="171"/>
    </row>
    <row r="21" spans="2:32" s="170" customFormat="1" ht="15" customHeight="1">
      <c r="B21" s="172"/>
      <c r="C21" s="694"/>
      <c r="D21" s="695" t="e">
        <f>#REF!</f>
        <v>#REF!</v>
      </c>
      <c r="E21" s="741" t="e">
        <f>#REF!</f>
        <v>#REF!</v>
      </c>
      <c r="F21" s="197" t="s">
        <v>242</v>
      </c>
      <c r="G21" s="197">
        <f>AG!F16</f>
        <v>94</v>
      </c>
      <c r="H21" s="197">
        <f>PPKN!F16</f>
        <v>88</v>
      </c>
      <c r="I21" s="197">
        <f>B.ind!F16</f>
        <v>83</v>
      </c>
      <c r="J21" s="197">
        <f>'Mat W'!F16</f>
        <v>85</v>
      </c>
      <c r="K21" s="197">
        <f>Sej!F16</f>
        <v>84</v>
      </c>
      <c r="L21" s="197">
        <f>B.Ing!F16</f>
        <v>84</v>
      </c>
      <c r="M21" s="197">
        <f>Seni!F16</f>
        <v>86</v>
      </c>
      <c r="N21" s="197">
        <f>Jas!F16</f>
        <v>88</v>
      </c>
      <c r="O21" s="197">
        <f>Pra!F16</f>
        <v>92</v>
      </c>
      <c r="P21" s="197">
        <f>'Mat P'!F16</f>
        <v>80</v>
      </c>
      <c r="Q21" s="197">
        <f>Bio!F16</f>
        <v>86</v>
      </c>
      <c r="R21" s="197">
        <f>Fis!F16</f>
        <v>85</v>
      </c>
      <c r="S21" s="197">
        <f>Kim!F16</f>
        <v>94</v>
      </c>
      <c r="T21" s="196">
        <f>'Eko (LM)'!$F$16</f>
        <v>88</v>
      </c>
      <c r="U21" s="196">
        <f>'Lin2'!$F$16</f>
        <v>0</v>
      </c>
      <c r="V21" s="203">
        <f>AVERAGE(G21:U21)</f>
        <v>81.13333333333334</v>
      </c>
      <c r="W21" s="700"/>
      <c r="X21" s="700"/>
      <c r="Y21" s="700"/>
      <c r="Z21" s="168"/>
      <c r="AA21" s="169"/>
      <c r="AF21" s="171"/>
    </row>
    <row r="22" spans="2:32" s="170" customFormat="1" ht="15" customHeight="1">
      <c r="B22" s="172"/>
      <c r="C22" s="694"/>
      <c r="D22" s="695" t="e">
        <f>#REF!</f>
        <v>#REF!</v>
      </c>
      <c r="E22" s="741" t="e">
        <f>#REF!</f>
        <v>#REF!</v>
      </c>
      <c r="F22" s="198" t="s">
        <v>40</v>
      </c>
      <c r="G22" s="197" t="str">
        <f>AG!G16</f>
        <v>SB</v>
      </c>
      <c r="H22" s="197" t="str">
        <f>PPKN!G16</f>
        <v>SB</v>
      </c>
      <c r="I22" s="197" t="str">
        <f>B.ind!G16</f>
        <v>B</v>
      </c>
      <c r="J22" s="197" t="str">
        <f>'Mat W'!G16</f>
        <v>B</v>
      </c>
      <c r="K22" s="197" t="str">
        <f>Sej!G16</f>
        <v>B</v>
      </c>
      <c r="L22" s="197" t="str">
        <f>B.Ing!G16</f>
        <v>B</v>
      </c>
      <c r="M22" s="197" t="str">
        <f>Seni!G16</f>
        <v>B</v>
      </c>
      <c r="N22" s="197" t="str">
        <f>Jas!G16</f>
        <v>B</v>
      </c>
      <c r="O22" s="197" t="str">
        <f>Pra!G16</f>
        <v>B</v>
      </c>
      <c r="P22" s="197" t="str">
        <f>'Mat P'!G16</f>
        <v>B</v>
      </c>
      <c r="Q22" s="197" t="str">
        <f>Bio!G16</f>
        <v>B</v>
      </c>
      <c r="R22" s="197" t="str">
        <f>Fis!G$15</f>
        <v>B</v>
      </c>
      <c r="S22" s="197" t="str">
        <f>Kim!G16</f>
        <v>SB</v>
      </c>
      <c r="T22" s="196" t="str">
        <f>'Eko (LM)'!$G$16</f>
        <v>SB</v>
      </c>
      <c r="U22" s="196">
        <f>'Lin2'!$G$16</f>
        <v>0</v>
      </c>
      <c r="V22" s="200"/>
      <c r="W22" s="701"/>
      <c r="X22" s="701"/>
      <c r="Y22" s="701"/>
      <c r="Z22" s="168"/>
      <c r="AA22" s="169"/>
      <c r="AF22" s="171"/>
    </row>
    <row r="23" spans="2:32" s="170" customFormat="1" ht="15" customHeight="1">
      <c r="B23" s="172"/>
      <c r="C23" s="670">
        <v>4</v>
      </c>
      <c r="D23" s="695" t="str">
        <f>DataSiswa!B11</f>
        <v>9989091797</v>
      </c>
      <c r="E23" s="741" t="str">
        <f>DataSiswa!C11</f>
        <v>Azis Fahrozi</v>
      </c>
      <c r="F23" s="201" t="s">
        <v>241</v>
      </c>
      <c r="G23" s="201">
        <f>AG!E17</f>
        <v>80</v>
      </c>
      <c r="H23" s="201">
        <f>PPKN!E17</f>
        <v>87</v>
      </c>
      <c r="I23" s="201">
        <f>B.ind!E17</f>
        <v>84</v>
      </c>
      <c r="J23" s="201">
        <f>'Mat W'!E17</f>
        <v>83</v>
      </c>
      <c r="K23" s="201">
        <f>Sej!E17</f>
        <v>84</v>
      </c>
      <c r="L23" s="201">
        <f>B.Ing!E17</f>
        <v>85</v>
      </c>
      <c r="M23" s="201">
        <f>Seni!E17</f>
        <v>82</v>
      </c>
      <c r="N23" s="201">
        <f>Jas!E17</f>
        <v>90</v>
      </c>
      <c r="O23" s="201">
        <f>Pra!E17</f>
        <v>87</v>
      </c>
      <c r="P23" s="201">
        <f>'Mat P'!E17</f>
        <v>82</v>
      </c>
      <c r="Q23" s="201">
        <f>Bio!E17</f>
        <v>84</v>
      </c>
      <c r="R23" s="201">
        <f>Fis!E17</f>
        <v>83</v>
      </c>
      <c r="S23" s="201">
        <f>Kim!E17</f>
        <v>85</v>
      </c>
      <c r="T23" s="201">
        <f>'Eko (LM)'!$E$17</f>
        <v>85</v>
      </c>
      <c r="U23" s="201">
        <f>'Lin2'!$E$17</f>
        <v>0</v>
      </c>
      <c r="V23" s="202">
        <f>AVERAGE(G23:U23)</f>
        <v>78.733333333333334</v>
      </c>
      <c r="W23" s="699" t="str">
        <f>Absen!G12</f>
        <v>-</v>
      </c>
      <c r="X23" s="699">
        <f>Absen!H12</f>
        <v>3</v>
      </c>
      <c r="Y23" s="699">
        <f>Absen!I12</f>
        <v>2</v>
      </c>
      <c r="Z23" s="168"/>
      <c r="AA23" s="169">
        <f>AVERAGE(G23:T23)</f>
        <v>84.357142857142861</v>
      </c>
      <c r="AF23" s="171"/>
    </row>
    <row r="24" spans="2:32" s="170" customFormat="1" ht="15" customHeight="1">
      <c r="B24" s="172"/>
      <c r="C24" s="670"/>
      <c r="D24" s="695" t="e">
        <f>#REF!</f>
        <v>#REF!</v>
      </c>
      <c r="E24" s="741" t="e">
        <f>#REF!</f>
        <v>#REF!</v>
      </c>
      <c r="F24" s="197" t="s">
        <v>242</v>
      </c>
      <c r="G24" s="197">
        <f>AG!F17</f>
        <v>82</v>
      </c>
      <c r="H24" s="197">
        <f>PPKN!F17</f>
        <v>89</v>
      </c>
      <c r="I24" s="197">
        <f>B.ind!F17</f>
        <v>83</v>
      </c>
      <c r="J24" s="197">
        <f>'Mat W'!F17</f>
        <v>83</v>
      </c>
      <c r="K24" s="197">
        <f>Sej!F17</f>
        <v>81</v>
      </c>
      <c r="L24" s="197">
        <f>B.Ing!F17</f>
        <v>84</v>
      </c>
      <c r="M24" s="197">
        <f>Seni!F17</f>
        <v>84</v>
      </c>
      <c r="N24" s="197">
        <f>Jas!F17</f>
        <v>88</v>
      </c>
      <c r="O24" s="197">
        <f>Pra!F17</f>
        <v>92</v>
      </c>
      <c r="P24" s="197">
        <f>'Mat P'!F17</f>
        <v>79</v>
      </c>
      <c r="Q24" s="197">
        <f>Bio!F17</f>
        <v>83</v>
      </c>
      <c r="R24" s="197">
        <f>Fis!F17</f>
        <v>85</v>
      </c>
      <c r="S24" s="197">
        <f>Kim!F17</f>
        <v>85</v>
      </c>
      <c r="T24" s="197">
        <f>'Eko (LM)'!$F$17</f>
        <v>80</v>
      </c>
      <c r="U24" s="197">
        <f>'Lin2'!$F$17</f>
        <v>0</v>
      </c>
      <c r="V24" s="203">
        <f>AVERAGE(G24:U24)</f>
        <v>78.533333333333331</v>
      </c>
      <c r="W24" s="700"/>
      <c r="X24" s="700"/>
      <c r="Y24" s="700"/>
      <c r="Z24" s="168"/>
      <c r="AA24" s="169"/>
      <c r="AF24" s="171"/>
    </row>
    <row r="25" spans="2:32" s="170" customFormat="1" ht="15" customHeight="1">
      <c r="B25" s="172"/>
      <c r="C25" s="670"/>
      <c r="D25" s="695" t="e">
        <f>#REF!</f>
        <v>#REF!</v>
      </c>
      <c r="E25" s="741" t="e">
        <f>#REF!</f>
        <v>#REF!</v>
      </c>
      <c r="F25" s="198" t="s">
        <v>40</v>
      </c>
      <c r="G25" s="197" t="str">
        <f>AG!G17</f>
        <v>B</v>
      </c>
      <c r="H25" s="197" t="str">
        <f>PPKN!G17</f>
        <v>SB</v>
      </c>
      <c r="I25" s="197" t="str">
        <f>B.ind!G17</f>
        <v>B</v>
      </c>
      <c r="J25" s="197" t="str">
        <f>'Mat W'!G17</f>
        <v>B</v>
      </c>
      <c r="K25" s="197" t="str">
        <f>Sej!G17</f>
        <v>B</v>
      </c>
      <c r="L25" s="197" t="str">
        <f>B.Ing!G17</f>
        <v>B</v>
      </c>
      <c r="M25" s="197" t="str">
        <f>Seni!G17</f>
        <v>B</v>
      </c>
      <c r="N25" s="197" t="str">
        <f>Jas!G17</f>
        <v>B</v>
      </c>
      <c r="O25" s="197" t="str">
        <f>Pra!G17</f>
        <v>B</v>
      </c>
      <c r="P25" s="197" t="str">
        <f>'Mat P'!G17</f>
        <v>B</v>
      </c>
      <c r="Q25" s="197" t="str">
        <f>Bio!G17</f>
        <v>B</v>
      </c>
      <c r="R25" s="197" t="str">
        <f>Fis!G$15</f>
        <v>B</v>
      </c>
      <c r="S25" s="197" t="str">
        <f>Kim!G17</f>
        <v>B</v>
      </c>
      <c r="T25" s="197" t="str">
        <f>'Eko (LM)'!$G$17</f>
        <v>B</v>
      </c>
      <c r="U25" s="197">
        <f>'Lin2'!$G$17</f>
        <v>0</v>
      </c>
      <c r="V25" s="200"/>
      <c r="W25" s="701"/>
      <c r="X25" s="701"/>
      <c r="Y25" s="701"/>
      <c r="Z25" s="168"/>
      <c r="AA25" s="169"/>
      <c r="AF25" s="171"/>
    </row>
    <row r="26" spans="2:32" s="170" customFormat="1" ht="15" customHeight="1">
      <c r="B26" s="172"/>
      <c r="C26" s="670">
        <v>5</v>
      </c>
      <c r="D26" s="695" t="str">
        <f>DataSiswa!B12</f>
        <v>9989983501</v>
      </c>
      <c r="E26" s="741" t="str">
        <f>DataSiswa!C12</f>
        <v>Berliana Monica</v>
      </c>
      <c r="F26" s="201" t="s">
        <v>241</v>
      </c>
      <c r="G26" s="201">
        <f>AG!E18</f>
        <v>89</v>
      </c>
      <c r="H26" s="201">
        <f>PPKN!E18</f>
        <v>90</v>
      </c>
      <c r="I26" s="201">
        <f>B.ind!E18</f>
        <v>83</v>
      </c>
      <c r="J26" s="201">
        <f>'Mat W'!E18</f>
        <v>84</v>
      </c>
      <c r="K26" s="201">
        <f>Sej!E18</f>
        <v>89</v>
      </c>
      <c r="L26" s="201">
        <f>B.Ing!E18</f>
        <v>87</v>
      </c>
      <c r="M26" s="201">
        <f>Seni!E18</f>
        <v>86</v>
      </c>
      <c r="N26" s="201">
        <f>Jas!E18</f>
        <v>88</v>
      </c>
      <c r="O26" s="201">
        <f>Pra!E18</f>
        <v>86</v>
      </c>
      <c r="P26" s="201">
        <f>'Mat P'!E18</f>
        <v>85</v>
      </c>
      <c r="Q26" s="201">
        <f>Bio!E18</f>
        <v>85</v>
      </c>
      <c r="R26" s="201">
        <f>Fis!E18</f>
        <v>83</v>
      </c>
      <c r="S26" s="201">
        <f>Kim!E18</f>
        <v>87</v>
      </c>
      <c r="T26" s="201">
        <f>'Eko (LM)'!$E$18</f>
        <v>88</v>
      </c>
      <c r="U26" s="201">
        <f>'Lin2'!$E$18</f>
        <v>0</v>
      </c>
      <c r="V26" s="204">
        <f>AVERAGE(G26:U26)</f>
        <v>80.666666666666671</v>
      </c>
      <c r="W26" s="699">
        <f>Absen!G13</f>
        <v>1</v>
      </c>
      <c r="X26" s="699">
        <f>Absen!H13</f>
        <v>1</v>
      </c>
      <c r="Y26" s="699" t="str">
        <f>Absen!I13</f>
        <v>-</v>
      </c>
      <c r="Z26" s="168"/>
      <c r="AA26" s="169">
        <f>AVERAGE(G26:T26)</f>
        <v>86.428571428571431</v>
      </c>
      <c r="AF26" s="171"/>
    </row>
    <row r="27" spans="2:32" s="170" customFormat="1" ht="15" customHeight="1">
      <c r="B27" s="172"/>
      <c r="C27" s="694"/>
      <c r="D27" s="695" t="e">
        <f>#REF!</f>
        <v>#REF!</v>
      </c>
      <c r="E27" s="741" t="e">
        <f>#REF!</f>
        <v>#REF!</v>
      </c>
      <c r="F27" s="197" t="s">
        <v>242</v>
      </c>
      <c r="G27" s="197">
        <f>AG!F18</f>
        <v>96</v>
      </c>
      <c r="H27" s="197">
        <f>PPKN!F18</f>
        <v>90</v>
      </c>
      <c r="I27" s="197">
        <f>B.ind!F18</f>
        <v>84</v>
      </c>
      <c r="J27" s="197">
        <f>'Mat W'!F18</f>
        <v>85</v>
      </c>
      <c r="K27" s="197">
        <f>Sej!F18</f>
        <v>84</v>
      </c>
      <c r="L27" s="197">
        <f>B.Ing!F18</f>
        <v>84</v>
      </c>
      <c r="M27" s="197">
        <f>Seni!F18</f>
        <v>86</v>
      </c>
      <c r="N27" s="197">
        <f>Jas!F18</f>
        <v>90</v>
      </c>
      <c r="O27" s="197">
        <f>Pra!F18</f>
        <v>92</v>
      </c>
      <c r="P27" s="197">
        <f>'Mat P'!F18</f>
        <v>84</v>
      </c>
      <c r="Q27" s="197">
        <f>Bio!F18</f>
        <v>85</v>
      </c>
      <c r="R27" s="197">
        <f>Fis!F18</f>
        <v>85</v>
      </c>
      <c r="S27" s="197">
        <f>Kim!F18</f>
        <v>90</v>
      </c>
      <c r="T27" s="197">
        <f>'Eko (LM)'!$F$18</f>
        <v>88</v>
      </c>
      <c r="U27" s="197">
        <f>'Lin2'!$F$18</f>
        <v>0</v>
      </c>
      <c r="V27" s="203">
        <f>AVERAGE(G27:U27)</f>
        <v>81.533333333333331</v>
      </c>
      <c r="W27" s="700"/>
      <c r="X27" s="700"/>
      <c r="Y27" s="700"/>
      <c r="Z27" s="168"/>
      <c r="AA27" s="169"/>
      <c r="AF27" s="171"/>
    </row>
    <row r="28" spans="2:32" s="170" customFormat="1" ht="20.25" customHeight="1">
      <c r="B28" s="172"/>
      <c r="C28" s="694"/>
      <c r="D28" s="695" t="e">
        <f>#REF!</f>
        <v>#REF!</v>
      </c>
      <c r="E28" s="741" t="e">
        <f>#REF!</f>
        <v>#REF!</v>
      </c>
      <c r="F28" s="198" t="s">
        <v>40</v>
      </c>
      <c r="G28" s="198" t="str">
        <f>AG!G18</f>
        <v>SB</v>
      </c>
      <c r="H28" s="198" t="str">
        <f>PPKN!G18</f>
        <v>SB</v>
      </c>
      <c r="I28" s="198" t="str">
        <f>B.ind!G18</f>
        <v>B</v>
      </c>
      <c r="J28" s="198" t="str">
        <f>'Mat W'!G18</f>
        <v>B</v>
      </c>
      <c r="K28" s="198" t="str">
        <f>Sej!G18</f>
        <v>B</v>
      </c>
      <c r="L28" s="198" t="str">
        <f>B.Ing!G18</f>
        <v>B</v>
      </c>
      <c r="M28" s="198" t="str">
        <f>Seni!G18</f>
        <v>B</v>
      </c>
      <c r="N28" s="198" t="str">
        <f>Jas!G18</f>
        <v>B</v>
      </c>
      <c r="O28" s="198" t="str">
        <f>Pra!G18</f>
        <v>SB</v>
      </c>
      <c r="P28" s="198" t="str">
        <f>'Mat P'!G18</f>
        <v>B</v>
      </c>
      <c r="Q28" s="198" t="str">
        <f>Bio!G18</f>
        <v>B</v>
      </c>
      <c r="R28" s="198" t="str">
        <f>Fis!G$15</f>
        <v>B</v>
      </c>
      <c r="S28" s="198" t="str">
        <f>Kim!G18</f>
        <v>SB</v>
      </c>
      <c r="T28" s="198" t="str">
        <f>'Eko (LM)'!$G$18</f>
        <v>SB</v>
      </c>
      <c r="U28" s="198">
        <f>'Lin2'!$G$18</f>
        <v>0</v>
      </c>
      <c r="V28" s="200"/>
      <c r="W28" s="701"/>
      <c r="X28" s="701"/>
      <c r="Y28" s="701"/>
      <c r="Z28" s="168"/>
      <c r="AA28" s="169"/>
      <c r="AF28" s="171"/>
    </row>
    <row r="29" spans="2:32" s="170" customFormat="1" ht="15.95" customHeight="1">
      <c r="B29" s="172"/>
      <c r="C29" s="670">
        <v>6</v>
      </c>
      <c r="D29" s="695" t="str">
        <f>DataSiswa!B13</f>
        <v>9970817548</v>
      </c>
      <c r="E29" s="741" t="str">
        <f>DataSiswa!C13</f>
        <v>Defri Nofriadi</v>
      </c>
      <c r="F29" s="201" t="s">
        <v>241</v>
      </c>
      <c r="G29" s="201">
        <f>AG!E19</f>
        <v>90</v>
      </c>
      <c r="H29" s="201">
        <f>PPKN!E19</f>
        <v>90</v>
      </c>
      <c r="I29" s="201">
        <f>B.ind!E19</f>
        <v>85</v>
      </c>
      <c r="J29" s="201">
        <f>'Mat W'!E19</f>
        <v>84</v>
      </c>
      <c r="K29" s="201">
        <f>Sej!E19</f>
        <v>89</v>
      </c>
      <c r="L29" s="201">
        <f>B.Ing!E19</f>
        <v>85</v>
      </c>
      <c r="M29" s="201">
        <f>Seni!E19</f>
        <v>86</v>
      </c>
      <c r="N29" s="201">
        <f>Jas!E19</f>
        <v>90</v>
      </c>
      <c r="O29" s="201">
        <f>Pra!E19</f>
        <v>89</v>
      </c>
      <c r="P29" s="201">
        <f>'Mat P'!E19</f>
        <v>86</v>
      </c>
      <c r="Q29" s="201">
        <f>Bio!E19</f>
        <v>87</v>
      </c>
      <c r="R29" s="201">
        <f>Fis!E19</f>
        <v>85</v>
      </c>
      <c r="S29" s="201">
        <f>Kim!E19</f>
        <v>86</v>
      </c>
      <c r="T29" s="201">
        <f>'Eko (LM)'!$E$19</f>
        <v>88</v>
      </c>
      <c r="U29" s="201">
        <f>'Lin2'!$E$19</f>
        <v>0</v>
      </c>
      <c r="V29" s="204">
        <f>AVERAGE(G29:U29)</f>
        <v>81.333333333333329</v>
      </c>
      <c r="W29" s="699" t="str">
        <f>Absen!G14</f>
        <v>-</v>
      </c>
      <c r="X29" s="699">
        <f>Absen!H14</f>
        <v>1</v>
      </c>
      <c r="Y29" s="699" t="str">
        <f>Absen!I14</f>
        <v>-</v>
      </c>
      <c r="Z29" s="168"/>
      <c r="AA29" s="169">
        <f>AVERAGE(G29:T29)</f>
        <v>87.142857142857139</v>
      </c>
      <c r="AF29" s="171"/>
    </row>
    <row r="30" spans="2:32" s="170" customFormat="1" ht="15.95" customHeight="1">
      <c r="B30" s="172"/>
      <c r="C30" s="670"/>
      <c r="D30" s="695" t="e">
        <f>#REF!</f>
        <v>#REF!</v>
      </c>
      <c r="E30" s="741" t="e">
        <f>#REF!</f>
        <v>#REF!</v>
      </c>
      <c r="F30" s="197" t="s">
        <v>242</v>
      </c>
      <c r="G30" s="197">
        <f>AG!F19</f>
        <v>96</v>
      </c>
      <c r="H30" s="197">
        <f>PPKN!F19</f>
        <v>90</v>
      </c>
      <c r="I30" s="197">
        <f>B.ind!F19</f>
        <v>84</v>
      </c>
      <c r="J30" s="197">
        <f>'Mat W'!F19</f>
        <v>86</v>
      </c>
      <c r="K30" s="197">
        <f>Sej!F19</f>
        <v>85</v>
      </c>
      <c r="L30" s="197">
        <f>B.Ing!F19</f>
        <v>87</v>
      </c>
      <c r="M30" s="197">
        <f>Seni!F19</f>
        <v>84</v>
      </c>
      <c r="N30" s="197">
        <f>Jas!F19</f>
        <v>90</v>
      </c>
      <c r="O30" s="197">
        <f>Pra!F19</f>
        <v>90</v>
      </c>
      <c r="P30" s="197">
        <f>'Mat P'!F19</f>
        <v>84</v>
      </c>
      <c r="Q30" s="197">
        <f>Bio!F19</f>
        <v>87</v>
      </c>
      <c r="R30" s="197">
        <f>Fis!F19</f>
        <v>85</v>
      </c>
      <c r="S30" s="197">
        <f>Kim!F19</f>
        <v>90</v>
      </c>
      <c r="T30" s="197">
        <f>'Eko (LM)'!$F$19</f>
        <v>88</v>
      </c>
      <c r="U30" s="197">
        <f>'Lin2'!$F$19</f>
        <v>0</v>
      </c>
      <c r="V30" s="203">
        <f>AVERAGE(G30:U30)</f>
        <v>81.733333333333334</v>
      </c>
      <c r="W30" s="700"/>
      <c r="X30" s="700"/>
      <c r="Y30" s="700"/>
      <c r="Z30" s="168"/>
      <c r="AA30" s="169"/>
      <c r="AF30" s="171"/>
    </row>
    <row r="31" spans="2:32" s="170" customFormat="1" ht="15.95" customHeight="1">
      <c r="B31" s="172"/>
      <c r="C31" s="670"/>
      <c r="D31" s="695" t="e">
        <f>#REF!</f>
        <v>#REF!</v>
      </c>
      <c r="E31" s="741" t="e">
        <f>#REF!</f>
        <v>#REF!</v>
      </c>
      <c r="F31" s="198" t="s">
        <v>40</v>
      </c>
      <c r="G31" s="197" t="str">
        <f>AG!G19</f>
        <v>SB</v>
      </c>
      <c r="H31" s="197" t="str">
        <f>PPKN!G19</f>
        <v>SB</v>
      </c>
      <c r="I31" s="197" t="str">
        <f>B.ind!G19</f>
        <v>B</v>
      </c>
      <c r="J31" s="197" t="str">
        <f>'Mat W'!G19</f>
        <v>B</v>
      </c>
      <c r="K31" s="197" t="str">
        <f>Sej!G19</f>
        <v>B</v>
      </c>
      <c r="L31" s="197" t="str">
        <f>B.Ing!G19</f>
        <v>B</v>
      </c>
      <c r="M31" s="197" t="str">
        <f>Seni!G19</f>
        <v>B</v>
      </c>
      <c r="N31" s="197" t="str">
        <f>Jas!G19</f>
        <v>B</v>
      </c>
      <c r="O31" s="197" t="str">
        <f>Pra!G19</f>
        <v>SB</v>
      </c>
      <c r="P31" s="197" t="str">
        <f>'Mat P'!G19</f>
        <v>B</v>
      </c>
      <c r="Q31" s="197" t="str">
        <f>Bio!G19</f>
        <v>B</v>
      </c>
      <c r="R31" s="197" t="str">
        <f>Fis!G$15</f>
        <v>B</v>
      </c>
      <c r="S31" s="197" t="str">
        <f>Kim!G19</f>
        <v>SB</v>
      </c>
      <c r="T31" s="197" t="str">
        <f>'Eko (LM)'!$G$19</f>
        <v>SB</v>
      </c>
      <c r="U31" s="197">
        <f>'Lin2'!$G$19</f>
        <v>0</v>
      </c>
      <c r="V31" s="200"/>
      <c r="W31" s="701"/>
      <c r="X31" s="701"/>
      <c r="Y31" s="701"/>
      <c r="Z31" s="168"/>
      <c r="AA31" s="169"/>
      <c r="AF31" s="171"/>
    </row>
    <row r="32" spans="2:32" s="170" customFormat="1" ht="15.95" customHeight="1">
      <c r="B32" s="172"/>
      <c r="C32" s="670">
        <v>7</v>
      </c>
      <c r="D32" s="695" t="str">
        <f>DataSiswa!B14</f>
        <v>9980817555</v>
      </c>
      <c r="E32" s="741" t="str">
        <f>DataSiswa!C14</f>
        <v>Dina Mardana Dulas</v>
      </c>
      <c r="F32" s="201" t="s">
        <v>241</v>
      </c>
      <c r="G32" s="201">
        <f>AG!E20</f>
        <v>84</v>
      </c>
      <c r="H32" s="201">
        <f>PPKN!E20</f>
        <v>90</v>
      </c>
      <c r="I32" s="201">
        <f>B.ind!E20</f>
        <v>84</v>
      </c>
      <c r="J32" s="201">
        <f>'Mat W'!E20</f>
        <v>84</v>
      </c>
      <c r="K32" s="201">
        <f>Sej!E20</f>
        <v>86</v>
      </c>
      <c r="L32" s="201">
        <f>B.Ing!E20</f>
        <v>86</v>
      </c>
      <c r="M32" s="201">
        <f>Seni!E20</f>
        <v>86</v>
      </c>
      <c r="N32" s="201">
        <f>Jas!E20</f>
        <v>87</v>
      </c>
      <c r="O32" s="201">
        <f>Pra!E20</f>
        <v>85</v>
      </c>
      <c r="P32" s="201">
        <f>'Mat P'!E20</f>
        <v>83</v>
      </c>
      <c r="Q32" s="201">
        <f>Bio!E20</f>
        <v>86</v>
      </c>
      <c r="R32" s="201">
        <f>Fis!E20</f>
        <v>83</v>
      </c>
      <c r="S32" s="201">
        <f>Kim!E20</f>
        <v>85</v>
      </c>
      <c r="T32" s="201">
        <f>'Eko (LM)'!$E$20</f>
        <v>85</v>
      </c>
      <c r="U32" s="201">
        <f>'Lin2'!$E$20</f>
        <v>0</v>
      </c>
      <c r="V32" s="202">
        <f>AVERAGE(G32:U32)</f>
        <v>79.599999999999994</v>
      </c>
      <c r="W32" s="699" t="str">
        <f>Absen!G15</f>
        <v>-</v>
      </c>
      <c r="X32" s="699">
        <f>Absen!H15</f>
        <v>1</v>
      </c>
      <c r="Y32" s="699" t="str">
        <f>Absen!I15</f>
        <v>-</v>
      </c>
      <c r="Z32" s="168"/>
      <c r="AA32" s="169">
        <f>AVERAGE(G32:T32)</f>
        <v>85.285714285714292</v>
      </c>
      <c r="AF32" s="171"/>
    </row>
    <row r="33" spans="2:32" s="170" customFormat="1" ht="15.95" customHeight="1">
      <c r="B33" s="172"/>
      <c r="C33" s="694"/>
      <c r="D33" s="695" t="e">
        <f>#REF!</f>
        <v>#REF!</v>
      </c>
      <c r="E33" s="741" t="e">
        <f>#REF!</f>
        <v>#REF!</v>
      </c>
      <c r="F33" s="197" t="s">
        <v>242</v>
      </c>
      <c r="G33" s="197">
        <f>AG!F20</f>
        <v>90</v>
      </c>
      <c r="H33" s="197">
        <f>PPKN!F20</f>
        <v>90</v>
      </c>
      <c r="I33" s="197">
        <f>B.ind!F20</f>
        <v>84</v>
      </c>
      <c r="J33" s="197">
        <f>'Mat W'!F20</f>
        <v>85</v>
      </c>
      <c r="K33" s="197">
        <f>Sej!F20</f>
        <v>84</v>
      </c>
      <c r="L33" s="197">
        <f>B.Ing!F20</f>
        <v>84</v>
      </c>
      <c r="M33" s="197">
        <f>Seni!F20</f>
        <v>84</v>
      </c>
      <c r="N33" s="197">
        <f>Jas!F20</f>
        <v>87</v>
      </c>
      <c r="O33" s="197">
        <f>Pra!F20</f>
        <v>90</v>
      </c>
      <c r="P33" s="197">
        <f>'Mat P'!F20</f>
        <v>82</v>
      </c>
      <c r="Q33" s="197">
        <f>Bio!F20</f>
        <v>84</v>
      </c>
      <c r="R33" s="197">
        <f>Fis!F20</f>
        <v>85</v>
      </c>
      <c r="S33" s="197">
        <f>Kim!F20</f>
        <v>90</v>
      </c>
      <c r="T33" s="197">
        <f>'Eko (LM)'!$F$20</f>
        <v>88</v>
      </c>
      <c r="U33" s="197">
        <f>'Lin2'!$F$20</f>
        <v>0</v>
      </c>
      <c r="V33" s="203">
        <f>AVERAGE(G33:U33)</f>
        <v>80.466666666666669</v>
      </c>
      <c r="W33" s="700"/>
      <c r="X33" s="700"/>
      <c r="Y33" s="700"/>
      <c r="Z33" s="168"/>
      <c r="AA33" s="169"/>
      <c r="AF33" s="171"/>
    </row>
    <row r="34" spans="2:32" s="170" customFormat="1" ht="15.95" customHeight="1">
      <c r="B34" s="172"/>
      <c r="C34" s="694"/>
      <c r="D34" s="695" t="e">
        <f>#REF!</f>
        <v>#REF!</v>
      </c>
      <c r="E34" s="741" t="e">
        <f>#REF!</f>
        <v>#REF!</v>
      </c>
      <c r="F34" s="198" t="s">
        <v>40</v>
      </c>
      <c r="G34" s="197" t="str">
        <f>AG!G20</f>
        <v>B</v>
      </c>
      <c r="H34" s="197" t="str">
        <f>PPKN!G20</f>
        <v>SB</v>
      </c>
      <c r="I34" s="197" t="str">
        <f>B.ind!G20</f>
        <v>B</v>
      </c>
      <c r="J34" s="197" t="str">
        <f>'Mat W'!G20</f>
        <v>B</v>
      </c>
      <c r="K34" s="197" t="str">
        <f>Sej!G20</f>
        <v>B</v>
      </c>
      <c r="L34" s="197" t="str">
        <f>B.Ing!G20</f>
        <v>B</v>
      </c>
      <c r="M34" s="197" t="str">
        <f>Seni!G20</f>
        <v>B</v>
      </c>
      <c r="N34" s="197" t="str">
        <f>Jas!G20</f>
        <v>B</v>
      </c>
      <c r="O34" s="197" t="str">
        <f>Pra!G20</f>
        <v>B</v>
      </c>
      <c r="P34" s="197" t="str">
        <f>'Mat P'!G20</f>
        <v>B</v>
      </c>
      <c r="Q34" s="197" t="str">
        <f>Bio!G20</f>
        <v>B</v>
      </c>
      <c r="R34" s="197" t="str">
        <f>Fis!G$15</f>
        <v>B</v>
      </c>
      <c r="S34" s="197" t="str">
        <f>Kim!G20</f>
        <v>SB</v>
      </c>
      <c r="T34" s="197" t="str">
        <f>'Eko (LM)'!$G$20</f>
        <v>SB</v>
      </c>
      <c r="U34" s="197">
        <f>'Lin2'!$G$20</f>
        <v>0</v>
      </c>
      <c r="V34" s="200"/>
      <c r="W34" s="701"/>
      <c r="X34" s="701"/>
      <c r="Y34" s="701"/>
      <c r="Z34" s="168"/>
      <c r="AA34" s="169"/>
      <c r="AF34" s="171"/>
    </row>
    <row r="35" spans="2:32" s="170" customFormat="1" ht="15.95" customHeight="1">
      <c r="B35" s="172"/>
      <c r="C35" s="670">
        <v>8</v>
      </c>
      <c r="D35" s="695" t="str">
        <f>DataSiswa!B15</f>
        <v>9980817812</v>
      </c>
      <c r="E35" s="741" t="str">
        <f>DataSiswa!C15</f>
        <v>Famella Putriadi</v>
      </c>
      <c r="F35" s="201" t="s">
        <v>241</v>
      </c>
      <c r="G35" s="201">
        <f>AG!E21</f>
        <v>85</v>
      </c>
      <c r="H35" s="201">
        <f>PPKN!E21</f>
        <v>91</v>
      </c>
      <c r="I35" s="201">
        <f>B.ind!E21</f>
        <v>84</v>
      </c>
      <c r="J35" s="201">
        <f>'Mat W'!E21</f>
        <v>82</v>
      </c>
      <c r="K35" s="201">
        <f>Sej!E21</f>
        <v>88</v>
      </c>
      <c r="L35" s="201">
        <f>B.Ing!E21</f>
        <v>85</v>
      </c>
      <c r="M35" s="201">
        <f>Seni!E21</f>
        <v>83</v>
      </c>
      <c r="N35" s="201">
        <f>Jas!E21</f>
        <v>87</v>
      </c>
      <c r="O35" s="201">
        <f>Pra!E21</f>
        <v>87</v>
      </c>
      <c r="P35" s="201">
        <f>'Mat P'!E21</f>
        <v>82</v>
      </c>
      <c r="Q35" s="201">
        <f>Bio!E21</f>
        <v>87</v>
      </c>
      <c r="R35" s="201">
        <f>Fis!E21</f>
        <v>84</v>
      </c>
      <c r="S35" s="201">
        <f>Kim!E21</f>
        <v>87</v>
      </c>
      <c r="T35" s="201">
        <f>'Eko (LM)'!$E$21</f>
        <v>89</v>
      </c>
      <c r="U35" s="201">
        <f>'Lin2'!$E$21</f>
        <v>0</v>
      </c>
      <c r="V35" s="202">
        <f>AVERAGE(G35:U35)</f>
        <v>80.066666666666663</v>
      </c>
      <c r="W35" s="699" t="str">
        <f>Absen!G16</f>
        <v>-</v>
      </c>
      <c r="X35" s="699">
        <f>Absen!H16</f>
        <v>4</v>
      </c>
      <c r="Y35" s="699" t="str">
        <f>Absen!I16</f>
        <v>-</v>
      </c>
      <c r="Z35" s="168"/>
      <c r="AA35" s="169">
        <f>AVERAGE(G35:T35)</f>
        <v>85.785714285714292</v>
      </c>
      <c r="AF35" s="171"/>
    </row>
    <row r="36" spans="2:32" s="170" customFormat="1" ht="15.95" customHeight="1">
      <c r="B36" s="172"/>
      <c r="C36" s="670"/>
      <c r="D36" s="695" t="e">
        <f>#REF!</f>
        <v>#REF!</v>
      </c>
      <c r="E36" s="741" t="e">
        <f>#REF!</f>
        <v>#REF!</v>
      </c>
      <c r="F36" s="197" t="s">
        <v>242</v>
      </c>
      <c r="G36" s="197">
        <f>AG!F21</f>
        <v>93</v>
      </c>
      <c r="H36" s="197">
        <f>PPKN!F21</f>
        <v>90</v>
      </c>
      <c r="I36" s="197">
        <f>B.ind!F21</f>
        <v>84</v>
      </c>
      <c r="J36" s="197">
        <f>'Mat W'!F21</f>
        <v>85</v>
      </c>
      <c r="K36" s="197">
        <f>Sej!F21</f>
        <v>85</v>
      </c>
      <c r="L36" s="197">
        <f>B.Ing!F21</f>
        <v>87</v>
      </c>
      <c r="M36" s="197">
        <f>Seni!F21</f>
        <v>86</v>
      </c>
      <c r="N36" s="197">
        <f>Jas!F21</f>
        <v>88</v>
      </c>
      <c r="O36" s="197">
        <f>Pra!F21</f>
        <v>92</v>
      </c>
      <c r="P36" s="197">
        <f>'Mat P'!F21</f>
        <v>82</v>
      </c>
      <c r="Q36" s="197">
        <f>Bio!F21</f>
        <v>85</v>
      </c>
      <c r="R36" s="197">
        <f>Fis!F21</f>
        <v>85</v>
      </c>
      <c r="S36" s="197">
        <f>Kim!F21</f>
        <v>88</v>
      </c>
      <c r="T36" s="197">
        <f>'Eko (LM)'!$F$21</f>
        <v>87</v>
      </c>
      <c r="U36" s="197">
        <f>'Lin2'!$F$21</f>
        <v>0</v>
      </c>
      <c r="V36" s="203">
        <f>AVERAGE(G36:U36)</f>
        <v>81.13333333333334</v>
      </c>
      <c r="W36" s="700"/>
      <c r="X36" s="700"/>
      <c r="Y36" s="700"/>
      <c r="Z36" s="168"/>
      <c r="AA36" s="169"/>
      <c r="AF36" s="171"/>
    </row>
    <row r="37" spans="2:32" s="170" customFormat="1" ht="15.95" customHeight="1">
      <c r="B37" s="172"/>
      <c r="C37" s="670"/>
      <c r="D37" s="695" t="e">
        <f>#REF!</f>
        <v>#REF!</v>
      </c>
      <c r="E37" s="741" t="e">
        <f>#REF!</f>
        <v>#REF!</v>
      </c>
      <c r="F37" s="198" t="s">
        <v>40</v>
      </c>
      <c r="G37" s="197">
        <f>AG!F22</f>
        <v>84</v>
      </c>
      <c r="H37" s="197">
        <f>PPKN!F22</f>
        <v>90</v>
      </c>
      <c r="I37" s="197">
        <f>B.ind!F22</f>
        <v>84</v>
      </c>
      <c r="J37" s="197">
        <f>'Mat W'!F22</f>
        <v>86</v>
      </c>
      <c r="K37" s="197">
        <f>Sej!F22</f>
        <v>84</v>
      </c>
      <c r="L37" s="197">
        <f>B.Ing!F22</f>
        <v>85</v>
      </c>
      <c r="M37" s="197">
        <f>Seni!F22</f>
        <v>87</v>
      </c>
      <c r="N37" s="197">
        <f>Jas!F22</f>
        <v>90</v>
      </c>
      <c r="O37" s="197">
        <f>Pra!F22</f>
        <v>90</v>
      </c>
      <c r="P37" s="197">
        <f>'Mat P'!F22</f>
        <v>82</v>
      </c>
      <c r="Q37" s="197">
        <f>Bio!F22</f>
        <v>88</v>
      </c>
      <c r="R37" s="197" t="str">
        <f>Fis!G$15</f>
        <v>B</v>
      </c>
      <c r="S37" s="197">
        <f>Kim!F22</f>
        <v>86</v>
      </c>
      <c r="T37" s="197">
        <f>'Eko (LM)'!$F$22</f>
        <v>88</v>
      </c>
      <c r="U37" s="197">
        <f>'Lin2'!$F$22</f>
        <v>0</v>
      </c>
      <c r="V37" s="200"/>
      <c r="W37" s="701"/>
      <c r="X37" s="701"/>
      <c r="Y37" s="701"/>
      <c r="Z37" s="168"/>
      <c r="AA37" s="169"/>
      <c r="AF37" s="171"/>
    </row>
    <row r="38" spans="2:32" s="170" customFormat="1" ht="15.95" customHeight="1">
      <c r="B38" s="172"/>
      <c r="C38" s="670">
        <v>9</v>
      </c>
      <c r="D38" s="695" t="str">
        <f>DataSiswa!B16</f>
        <v>9986349049</v>
      </c>
      <c r="E38" s="741" t="str">
        <f>DataSiswa!C16</f>
        <v>Febrawati Fajlynd</v>
      </c>
      <c r="F38" s="201" t="s">
        <v>241</v>
      </c>
      <c r="G38" s="201">
        <f>AG!E22</f>
        <v>84</v>
      </c>
      <c r="H38" s="201">
        <f>PPKN!E22</f>
        <v>91</v>
      </c>
      <c r="I38" s="201">
        <f>B.ind!E22</f>
        <v>84</v>
      </c>
      <c r="J38" s="201">
        <f>'Mat W'!E22</f>
        <v>84</v>
      </c>
      <c r="K38" s="201">
        <f>Sej!E22</f>
        <v>85</v>
      </c>
      <c r="L38" s="201">
        <f>B.Ing!E22</f>
        <v>88</v>
      </c>
      <c r="M38" s="201">
        <f>Seni!E22</f>
        <v>86</v>
      </c>
      <c r="N38" s="201">
        <f>Jas!E22</f>
        <v>88</v>
      </c>
      <c r="O38" s="201">
        <f>Pra!E22</f>
        <v>87</v>
      </c>
      <c r="P38" s="201">
        <f>'Mat P'!E22</f>
        <v>85</v>
      </c>
      <c r="Q38" s="201">
        <f>Bio!E22</f>
        <v>87</v>
      </c>
      <c r="R38" s="201">
        <f>Fis!E22</f>
        <v>85</v>
      </c>
      <c r="S38" s="201">
        <f>Kim!E22</f>
        <v>85</v>
      </c>
      <c r="T38" s="201">
        <f>'Eko (LM)'!$E$22</f>
        <v>90</v>
      </c>
      <c r="U38" s="201">
        <f>'Lin2'!$E$22</f>
        <v>0</v>
      </c>
      <c r="V38" s="202">
        <f>AVERAGE(G38:U38)</f>
        <v>80.599999999999994</v>
      </c>
      <c r="W38" s="699">
        <f>Absen!G17</f>
        <v>3</v>
      </c>
      <c r="X38" s="699" t="str">
        <f>Absen!H17</f>
        <v>-</v>
      </c>
      <c r="Y38" s="699">
        <f>Absen!I17</f>
        <v>1</v>
      </c>
      <c r="Z38" s="168"/>
      <c r="AA38" s="169">
        <f>AVERAGE(G38:T38)</f>
        <v>86.357142857142861</v>
      </c>
      <c r="AF38" s="171"/>
    </row>
    <row r="39" spans="2:32" s="170" customFormat="1" ht="15.95" customHeight="1">
      <c r="B39" s="172"/>
      <c r="C39" s="694"/>
      <c r="D39" s="695" t="e">
        <f>#REF!</f>
        <v>#REF!</v>
      </c>
      <c r="E39" s="741" t="e">
        <f>#REF!</f>
        <v>#REF!</v>
      </c>
      <c r="F39" s="197" t="s">
        <v>242</v>
      </c>
      <c r="G39" s="197">
        <f>AG!F22</f>
        <v>84</v>
      </c>
      <c r="H39" s="197">
        <f>PPKN!F22</f>
        <v>90</v>
      </c>
      <c r="I39" s="197">
        <f>B.ind!F22</f>
        <v>84</v>
      </c>
      <c r="J39" s="197">
        <f>'Mat W'!F22</f>
        <v>86</v>
      </c>
      <c r="K39" s="197">
        <f>Sej!F22</f>
        <v>84</v>
      </c>
      <c r="L39" s="197">
        <f>B.Ing!F22</f>
        <v>85</v>
      </c>
      <c r="M39" s="197">
        <f>Seni!F22</f>
        <v>87</v>
      </c>
      <c r="N39" s="197">
        <f>Jas!F22</f>
        <v>90</v>
      </c>
      <c r="O39" s="197">
        <f>Pra!F22</f>
        <v>90</v>
      </c>
      <c r="P39" s="197">
        <f>'Mat P'!F22</f>
        <v>82</v>
      </c>
      <c r="Q39" s="197">
        <f>Bio!F22</f>
        <v>88</v>
      </c>
      <c r="R39" s="197">
        <f>Fis!F22</f>
        <v>82</v>
      </c>
      <c r="S39" s="197">
        <f>Kim!F22</f>
        <v>86</v>
      </c>
      <c r="T39" s="197">
        <f>'Eko (LM)'!$F$22</f>
        <v>88</v>
      </c>
      <c r="U39" s="197">
        <f>'Lin2'!$F$22</f>
        <v>0</v>
      </c>
      <c r="V39" s="203">
        <f>AVERAGE(G39:U39)</f>
        <v>80.400000000000006</v>
      </c>
      <c r="W39" s="700"/>
      <c r="X39" s="700"/>
      <c r="Y39" s="700"/>
      <c r="Z39" s="168"/>
      <c r="AA39" s="169"/>
      <c r="AF39" s="171"/>
    </row>
    <row r="40" spans="2:32" s="170" customFormat="1" ht="15.95" customHeight="1">
      <c r="B40" s="172"/>
      <c r="C40" s="694"/>
      <c r="D40" s="695" t="e">
        <f>#REF!</f>
        <v>#REF!</v>
      </c>
      <c r="E40" s="741" t="e">
        <f>#REF!</f>
        <v>#REF!</v>
      </c>
      <c r="F40" s="198" t="s">
        <v>40</v>
      </c>
      <c r="G40" s="197" t="str">
        <f>AG!G22</f>
        <v>B</v>
      </c>
      <c r="H40" s="197" t="str">
        <f>PPKN!G22</f>
        <v>SB</v>
      </c>
      <c r="I40" s="197" t="str">
        <f>B.ind!G22</f>
        <v>B</v>
      </c>
      <c r="J40" s="197" t="str">
        <f>'Mat W'!G22</f>
        <v>B</v>
      </c>
      <c r="K40" s="197" t="str">
        <f>Sej!G22</f>
        <v>B</v>
      </c>
      <c r="L40" s="197" t="str">
        <f>B.Ing!G22</f>
        <v>B</v>
      </c>
      <c r="M40" s="197" t="str">
        <f>Seni!G22</f>
        <v>B</v>
      </c>
      <c r="N40" s="197" t="str">
        <f>Jas!G22</f>
        <v>B</v>
      </c>
      <c r="O40" s="197" t="str">
        <f>Pra!G22</f>
        <v>B</v>
      </c>
      <c r="P40" s="197" t="str">
        <f>'Mat P'!G22</f>
        <v>B</v>
      </c>
      <c r="Q40" s="197" t="str">
        <f>Bio!G22</f>
        <v>B</v>
      </c>
      <c r="R40" s="197" t="str">
        <f>Fis!G$15</f>
        <v>B</v>
      </c>
      <c r="S40" s="197" t="str">
        <f>Kim!G22</f>
        <v>B</v>
      </c>
      <c r="T40" s="197" t="str">
        <f>'Eko (LM)'!$G$22</f>
        <v>SB</v>
      </c>
      <c r="U40" s="197">
        <f>'Lin2'!$G$22</f>
        <v>0</v>
      </c>
      <c r="V40" s="200"/>
      <c r="W40" s="701"/>
      <c r="X40" s="701"/>
      <c r="Y40" s="701"/>
      <c r="Z40" s="168"/>
      <c r="AA40" s="169"/>
      <c r="AF40" s="171"/>
    </row>
    <row r="41" spans="2:32" s="170" customFormat="1" ht="15.95" customHeight="1">
      <c r="B41" s="172"/>
      <c r="C41" s="670">
        <v>10</v>
      </c>
      <c r="D41" s="695" t="str">
        <f>DataSiswa!B17</f>
        <v>9980673410</v>
      </c>
      <c r="E41" s="741" t="str">
        <f>DataSiswa!C17</f>
        <v>Fierro Perdana Ibrahim</v>
      </c>
      <c r="F41" s="201" t="s">
        <v>241</v>
      </c>
      <c r="G41" s="201">
        <f>AG!E23</f>
        <v>80</v>
      </c>
      <c r="H41" s="201">
        <f>PPKN!E23</f>
        <v>86</v>
      </c>
      <c r="I41" s="201">
        <f>B.ind!E23</f>
        <v>83</v>
      </c>
      <c r="J41" s="201">
        <f>'Mat W'!E23</f>
        <v>84</v>
      </c>
      <c r="K41" s="201">
        <f>Sej!E23</f>
        <v>85</v>
      </c>
      <c r="L41" s="201">
        <f>B.Ing!E23</f>
        <v>86</v>
      </c>
      <c r="M41" s="201">
        <f>Seni!E23</f>
        <v>86</v>
      </c>
      <c r="N41" s="201">
        <f>Jas!E23</f>
        <v>87</v>
      </c>
      <c r="O41" s="201">
        <f>Pra!E23</f>
        <v>88</v>
      </c>
      <c r="P41" s="201">
        <f>'Mat P'!E23</f>
        <v>82</v>
      </c>
      <c r="Q41" s="201">
        <f>Bio!E23</f>
        <v>84</v>
      </c>
      <c r="R41" s="201">
        <f>Fis!E23</f>
        <v>82</v>
      </c>
      <c r="S41" s="201">
        <f>Kim!E23</f>
        <v>82</v>
      </c>
      <c r="T41" s="201">
        <f>'Eko (LM)'!$E$23</f>
        <v>86</v>
      </c>
      <c r="U41" s="201">
        <f>'Lin2'!$E$23</f>
        <v>0</v>
      </c>
      <c r="V41" s="202">
        <f>AVERAGE(G41:U41)</f>
        <v>78.733333333333334</v>
      </c>
      <c r="W41" s="699" t="str">
        <f>Absen!G18</f>
        <v>-</v>
      </c>
      <c r="X41" s="699">
        <f>Absen!H18</f>
        <v>2</v>
      </c>
      <c r="Y41" s="699" t="str">
        <f>Absen!I18</f>
        <v>-</v>
      </c>
      <c r="Z41" s="168"/>
      <c r="AA41" s="169">
        <f>AVERAGE(G41:T41)</f>
        <v>84.357142857142861</v>
      </c>
      <c r="AF41" s="171"/>
    </row>
    <row r="42" spans="2:32" s="170" customFormat="1" ht="15.95" customHeight="1">
      <c r="B42" s="172"/>
      <c r="C42" s="670"/>
      <c r="D42" s="695" t="e">
        <f>#REF!</f>
        <v>#REF!</v>
      </c>
      <c r="E42" s="741" t="e">
        <f>#REF!</f>
        <v>#REF!</v>
      </c>
      <c r="F42" s="197" t="s">
        <v>242</v>
      </c>
      <c r="G42" s="197">
        <f>AG!F23</f>
        <v>80</v>
      </c>
      <c r="H42" s="197">
        <f>PPKN!F23</f>
        <v>88</v>
      </c>
      <c r="I42" s="197">
        <f>B.ind!F23</f>
        <v>83</v>
      </c>
      <c r="J42" s="197">
        <f>'Mat W'!F23</f>
        <v>83</v>
      </c>
      <c r="K42" s="197">
        <f>Sej!F23</f>
        <v>80</v>
      </c>
      <c r="L42" s="197">
        <f>B.Ing!F23</f>
        <v>84</v>
      </c>
      <c r="M42" s="197">
        <f>Seni!F23</f>
        <v>86</v>
      </c>
      <c r="N42" s="197">
        <f>Jas!F23</f>
        <v>90</v>
      </c>
      <c r="O42" s="197">
        <f>Pra!F23</f>
        <v>90</v>
      </c>
      <c r="P42" s="197">
        <f>'Mat P'!F23</f>
        <v>79</v>
      </c>
      <c r="Q42" s="197">
        <f>Bio!F23</f>
        <v>85</v>
      </c>
      <c r="R42" s="197">
        <f>Fis!F23</f>
        <v>85</v>
      </c>
      <c r="S42" s="197">
        <f>Kim!F23</f>
        <v>83</v>
      </c>
      <c r="T42" s="197">
        <f>'Eko (LM)'!$F$23</f>
        <v>86</v>
      </c>
      <c r="U42" s="197">
        <f>'Lin2'!$F$23</f>
        <v>0</v>
      </c>
      <c r="V42" s="203">
        <f>AVERAGE(G42:U42)</f>
        <v>78.8</v>
      </c>
      <c r="W42" s="700"/>
      <c r="X42" s="700"/>
      <c r="Y42" s="700"/>
      <c r="Z42" s="168"/>
      <c r="AA42" s="169"/>
      <c r="AF42" s="171"/>
    </row>
    <row r="43" spans="2:32" s="170" customFormat="1" ht="15.95" customHeight="1">
      <c r="B43" s="172"/>
      <c r="C43" s="670"/>
      <c r="D43" s="695" t="e">
        <f>#REF!</f>
        <v>#REF!</v>
      </c>
      <c r="E43" s="741" t="e">
        <f>#REF!</f>
        <v>#REF!</v>
      </c>
      <c r="F43" s="198" t="s">
        <v>40</v>
      </c>
      <c r="G43" s="197" t="str">
        <f>AG!G23</f>
        <v>B</v>
      </c>
      <c r="H43" s="197" t="str">
        <f>PPKN!G23</f>
        <v>SB</v>
      </c>
      <c r="I43" s="197" t="str">
        <f>B.ind!G23</f>
        <v>B</v>
      </c>
      <c r="J43" s="197" t="str">
        <f>'Mat W'!G23</f>
        <v>B</v>
      </c>
      <c r="K43" s="197" t="str">
        <f>Sej!G23</f>
        <v>B</v>
      </c>
      <c r="L43" s="197" t="str">
        <f>B.Ing!G23</f>
        <v>B</v>
      </c>
      <c r="M43" s="197" t="str">
        <f>Seni!G23</f>
        <v>B</v>
      </c>
      <c r="N43" s="197" t="str">
        <f>Jas!G23</f>
        <v>B</v>
      </c>
      <c r="O43" s="197" t="str">
        <f>Pra!G23</f>
        <v>SB</v>
      </c>
      <c r="P43" s="197" t="str">
        <f>'Mat P'!G23</f>
        <v>B</v>
      </c>
      <c r="Q43" s="197" t="str">
        <f>Bio!G23</f>
        <v>B</v>
      </c>
      <c r="R43" s="197" t="str">
        <f>Fis!G$15</f>
        <v>B</v>
      </c>
      <c r="S43" s="197" t="str">
        <f>Kim!G23</f>
        <v>B</v>
      </c>
      <c r="T43" s="197" t="str">
        <f>'Eko (LM)'!$G$23</f>
        <v>SB</v>
      </c>
      <c r="U43" s="197">
        <f>'Lin2'!$G$23</f>
        <v>0</v>
      </c>
      <c r="V43" s="200"/>
      <c r="W43" s="701"/>
      <c r="X43" s="701"/>
      <c r="Y43" s="701"/>
      <c r="Z43" s="168"/>
      <c r="AA43" s="169"/>
      <c r="AF43" s="171"/>
    </row>
    <row r="44" spans="2:32" s="170" customFormat="1" ht="15.95" customHeight="1">
      <c r="B44" s="172"/>
      <c r="C44" s="670">
        <v>11</v>
      </c>
      <c r="D44" s="695" t="str">
        <f>DataSiswa!B18</f>
        <v>9980817833</v>
      </c>
      <c r="E44" s="741" t="str">
        <f>DataSiswa!C18</f>
        <v>Jihan Salsabilla</v>
      </c>
      <c r="F44" s="201" t="s">
        <v>241</v>
      </c>
      <c r="G44" s="201">
        <f>AG!E24</f>
        <v>91</v>
      </c>
      <c r="H44" s="201">
        <f>PPKN!E24</f>
        <v>92</v>
      </c>
      <c r="I44" s="201">
        <f>B.ind!E24</f>
        <v>85</v>
      </c>
      <c r="J44" s="201">
        <f>'Mat W'!E24</f>
        <v>89</v>
      </c>
      <c r="K44" s="201">
        <f>Sej!E24</f>
        <v>88</v>
      </c>
      <c r="L44" s="201">
        <f>B.Ing!E24</f>
        <v>85</v>
      </c>
      <c r="M44" s="201">
        <f>Seni!E24</f>
        <v>87</v>
      </c>
      <c r="N44" s="201">
        <f>Jas!E24</f>
        <v>87</v>
      </c>
      <c r="O44" s="201">
        <f>Pra!E24</f>
        <v>86</v>
      </c>
      <c r="P44" s="201">
        <f>'Mat P'!E24</f>
        <v>87</v>
      </c>
      <c r="Q44" s="201">
        <f>Bio!E24</f>
        <v>88</v>
      </c>
      <c r="R44" s="201">
        <f>Fis!E24</f>
        <v>84</v>
      </c>
      <c r="S44" s="201">
        <f>Kim!E24</f>
        <v>87</v>
      </c>
      <c r="T44" s="201">
        <f>'Eko (LM)'!$E$24</f>
        <v>87</v>
      </c>
      <c r="U44" s="201">
        <f>'Lin2'!$E$24</f>
        <v>0</v>
      </c>
      <c r="V44" s="202">
        <f>AVERAGE(G44:U44)</f>
        <v>81.533333333333331</v>
      </c>
      <c r="W44" s="699">
        <f>Absen!G19</f>
        <v>1</v>
      </c>
      <c r="X44" s="699">
        <f>Absen!H19</f>
        <v>3</v>
      </c>
      <c r="Y44" s="699" t="str">
        <f>Absen!I19</f>
        <v>-</v>
      </c>
      <c r="Z44" s="168"/>
      <c r="AA44" s="169">
        <f>AVERAGE(G44:T44)</f>
        <v>87.357142857142861</v>
      </c>
      <c r="AF44" s="171"/>
    </row>
    <row r="45" spans="2:32" s="170" customFormat="1" ht="15.95" customHeight="1">
      <c r="B45" s="172"/>
      <c r="C45" s="694"/>
      <c r="D45" s="695" t="e">
        <f>#REF!</f>
        <v>#REF!</v>
      </c>
      <c r="E45" s="741" t="e">
        <f>#REF!</f>
        <v>#REF!</v>
      </c>
      <c r="F45" s="197" t="s">
        <v>242</v>
      </c>
      <c r="G45" s="197">
        <f>AG!F24</f>
        <v>96</v>
      </c>
      <c r="H45" s="197">
        <f>PPKN!F24</f>
        <v>89</v>
      </c>
      <c r="I45" s="197">
        <f>B.ind!F24</f>
        <v>84</v>
      </c>
      <c r="J45" s="197">
        <f>'Mat W'!F24</f>
        <v>86</v>
      </c>
      <c r="K45" s="197">
        <f>Sej!F24</f>
        <v>85</v>
      </c>
      <c r="L45" s="197">
        <f>B.Ing!F24</f>
        <v>85</v>
      </c>
      <c r="M45" s="197">
        <f>Seni!F24</f>
        <v>84</v>
      </c>
      <c r="N45" s="197">
        <f>Jas!F24</f>
        <v>90</v>
      </c>
      <c r="O45" s="197">
        <f>Pra!F24</f>
        <v>90</v>
      </c>
      <c r="P45" s="197">
        <f>'Mat P'!F24</f>
        <v>86</v>
      </c>
      <c r="Q45" s="197">
        <f>Bio!F24</f>
        <v>87</v>
      </c>
      <c r="R45" s="197">
        <f>Fis!F24</f>
        <v>85</v>
      </c>
      <c r="S45" s="197">
        <f>Kim!F24</f>
        <v>90</v>
      </c>
      <c r="T45" s="197">
        <f>'Eko (LM)'!$F$24</f>
        <v>88</v>
      </c>
      <c r="U45" s="197">
        <f>'Lin2'!$F$24</f>
        <v>0</v>
      </c>
      <c r="V45" s="203">
        <f>AVERAGE(G45:U45)</f>
        <v>81.666666666666671</v>
      </c>
      <c r="W45" s="700"/>
      <c r="X45" s="700"/>
      <c r="Y45" s="700"/>
      <c r="Z45" s="168"/>
      <c r="AA45" s="169"/>
      <c r="AF45" s="171"/>
    </row>
    <row r="46" spans="2:32" s="170" customFormat="1" ht="15.95" customHeight="1">
      <c r="B46" s="172"/>
      <c r="C46" s="694"/>
      <c r="D46" s="695" t="e">
        <f>#REF!</f>
        <v>#REF!</v>
      </c>
      <c r="E46" s="741" t="e">
        <f>#REF!</f>
        <v>#REF!</v>
      </c>
      <c r="F46" s="198" t="s">
        <v>40</v>
      </c>
      <c r="G46" s="197" t="str">
        <f>AG!G24</f>
        <v>SB</v>
      </c>
      <c r="H46" s="197" t="str">
        <f>PPKN!G24</f>
        <v>SB</v>
      </c>
      <c r="I46" s="197" t="str">
        <f>B.ind!G24</f>
        <v>B</v>
      </c>
      <c r="J46" s="197" t="str">
        <f>'Mat W'!G24</f>
        <v>B</v>
      </c>
      <c r="K46" s="197" t="str">
        <f>Sej!G24</f>
        <v>B</v>
      </c>
      <c r="L46" s="197" t="str">
        <f>B.Ing!G24</f>
        <v>B</v>
      </c>
      <c r="M46" s="197" t="str">
        <f>Seni!G24</f>
        <v>B</v>
      </c>
      <c r="N46" s="197" t="str">
        <f>Jas!G24</f>
        <v>B</v>
      </c>
      <c r="O46" s="197" t="str">
        <f>Pra!G24</f>
        <v>SB</v>
      </c>
      <c r="P46" s="197" t="str">
        <f>'Mat P'!G24</f>
        <v>B</v>
      </c>
      <c r="Q46" s="197" t="str">
        <f>Bio!G24</f>
        <v>B</v>
      </c>
      <c r="R46" s="197" t="str">
        <f>Fis!G$15</f>
        <v>B</v>
      </c>
      <c r="S46" s="197" t="str">
        <f>Kim!G24</f>
        <v>SB</v>
      </c>
      <c r="T46" s="197" t="str">
        <f>'Eko (LM)'!$G$24</f>
        <v>SB</v>
      </c>
      <c r="U46" s="197">
        <f>'Lin2'!$G$24</f>
        <v>0</v>
      </c>
      <c r="V46" s="200"/>
      <c r="W46" s="701"/>
      <c r="X46" s="701"/>
      <c r="Y46" s="701"/>
      <c r="Z46" s="168"/>
      <c r="AA46" s="169"/>
      <c r="AF46" s="171"/>
    </row>
    <row r="47" spans="2:32" s="170" customFormat="1" ht="15.95" customHeight="1">
      <c r="B47" s="172"/>
      <c r="C47" s="670">
        <v>12</v>
      </c>
      <c r="D47" s="695" t="str">
        <f>DataSiswa!B19</f>
        <v>9980065874</v>
      </c>
      <c r="E47" s="741" t="str">
        <f>DataSiswa!C19</f>
        <v>Karina Safira Rannas</v>
      </c>
      <c r="F47" s="201" t="s">
        <v>241</v>
      </c>
      <c r="G47" s="201">
        <f>AG!E25</f>
        <v>82</v>
      </c>
      <c r="H47" s="201">
        <f>PPKN!E25</f>
        <v>86</v>
      </c>
      <c r="I47" s="201">
        <f>B.ind!E25</f>
        <v>85</v>
      </c>
      <c r="J47" s="201">
        <f>'Mat W'!E25</f>
        <v>82</v>
      </c>
      <c r="K47" s="201">
        <f>Sej!E25</f>
        <v>85</v>
      </c>
      <c r="L47" s="201">
        <f>B.Ing!E25</f>
        <v>88</v>
      </c>
      <c r="M47" s="201">
        <f>Seni!E25</f>
        <v>84</v>
      </c>
      <c r="N47" s="201">
        <f>Jas!E25</f>
        <v>88</v>
      </c>
      <c r="O47" s="201">
        <f>Pra!E25</f>
        <v>88</v>
      </c>
      <c r="P47" s="201">
        <f>'Mat P'!E25</f>
        <v>82</v>
      </c>
      <c r="Q47" s="201">
        <f>Bio!E25</f>
        <v>85</v>
      </c>
      <c r="R47" s="201">
        <f>Fis!E25</f>
        <v>86</v>
      </c>
      <c r="S47" s="201">
        <f>Kim!E25</f>
        <v>88</v>
      </c>
      <c r="T47" s="201">
        <f>'Eko (LM)'!$E$25</f>
        <v>89</v>
      </c>
      <c r="U47" s="201">
        <f>'Lin2'!$E$25</f>
        <v>0</v>
      </c>
      <c r="V47" s="202">
        <f>AVERAGE(G47:U47)</f>
        <v>79.86666666666666</v>
      </c>
      <c r="W47" s="699" t="str">
        <f>Absen!G20</f>
        <v>-</v>
      </c>
      <c r="X47" s="699">
        <f>Absen!H20</f>
        <v>4</v>
      </c>
      <c r="Y47" s="699">
        <f>Absen!I20</f>
        <v>2</v>
      </c>
      <c r="Z47" s="168"/>
      <c r="AA47" s="169">
        <f>AVERAGE(G47:T47)</f>
        <v>85.571428571428569</v>
      </c>
      <c r="AF47" s="171"/>
    </row>
    <row r="48" spans="2:32" s="170" customFormat="1" ht="15.95" customHeight="1">
      <c r="B48" s="172"/>
      <c r="C48" s="670"/>
      <c r="D48" s="695" t="e">
        <f>#REF!</f>
        <v>#REF!</v>
      </c>
      <c r="E48" s="741" t="e">
        <f>#REF!</f>
        <v>#REF!</v>
      </c>
      <c r="F48" s="197" t="s">
        <v>242</v>
      </c>
      <c r="G48" s="197">
        <f>AG!F25</f>
        <v>83</v>
      </c>
      <c r="H48" s="197">
        <f>PPKN!F25</f>
        <v>89</v>
      </c>
      <c r="I48" s="197">
        <f>B.ind!F25</f>
        <v>83</v>
      </c>
      <c r="J48" s="197">
        <f>'Mat W'!F25</f>
        <v>85</v>
      </c>
      <c r="K48" s="197">
        <f>Sej!F25</f>
        <v>85</v>
      </c>
      <c r="L48" s="197">
        <f>B.Ing!F25</f>
        <v>85</v>
      </c>
      <c r="M48" s="197">
        <f>Seni!F25</f>
        <v>86</v>
      </c>
      <c r="N48" s="197">
        <f>Jas!F25</f>
        <v>90</v>
      </c>
      <c r="O48" s="197">
        <f>Pra!F25</f>
        <v>92</v>
      </c>
      <c r="P48" s="197">
        <f>'Mat P'!F25</f>
        <v>82</v>
      </c>
      <c r="Q48" s="197">
        <f>Bio!F25</f>
        <v>83</v>
      </c>
      <c r="R48" s="197">
        <f>Fis!F25</f>
        <v>85</v>
      </c>
      <c r="S48" s="197">
        <f>Kim!F25</f>
        <v>89</v>
      </c>
      <c r="T48" s="197">
        <f>'Eko (LM)'!$F$25</f>
        <v>88</v>
      </c>
      <c r="U48" s="197">
        <f>'Lin2'!$F$25</f>
        <v>0</v>
      </c>
      <c r="V48" s="202">
        <f>AVERAGE(G48:U48)</f>
        <v>80.333333333333329</v>
      </c>
      <c r="W48" s="700"/>
      <c r="X48" s="700"/>
      <c r="Y48" s="700"/>
      <c r="Z48" s="168"/>
      <c r="AA48" s="169"/>
      <c r="AF48" s="171"/>
    </row>
    <row r="49" spans="2:32" s="170" customFormat="1" ht="15.95" customHeight="1">
      <c r="B49" s="172"/>
      <c r="C49" s="670"/>
      <c r="D49" s="695" t="e">
        <f>#REF!</f>
        <v>#REF!</v>
      </c>
      <c r="E49" s="741" t="e">
        <f>#REF!</f>
        <v>#REF!</v>
      </c>
      <c r="F49" s="198" t="s">
        <v>40</v>
      </c>
      <c r="G49" s="197" t="str">
        <f>AG!G25</f>
        <v>SB</v>
      </c>
      <c r="H49" s="197" t="str">
        <f>PPKN!G25</f>
        <v>SB</v>
      </c>
      <c r="I49" s="197" t="str">
        <f>B.ind!G25</f>
        <v>B</v>
      </c>
      <c r="J49" s="197" t="str">
        <f>'Mat W'!G25</f>
        <v>B</v>
      </c>
      <c r="K49" s="197" t="str">
        <f>Sej!G25</f>
        <v>B</v>
      </c>
      <c r="L49" s="197" t="str">
        <f>B.Ing!G25</f>
        <v>B</v>
      </c>
      <c r="M49" s="197" t="str">
        <f>Seni!G25</f>
        <v>B</v>
      </c>
      <c r="N49" s="197" t="str">
        <f>Jas!G25</f>
        <v>B</v>
      </c>
      <c r="O49" s="197" t="str">
        <f>Pra!G25</f>
        <v>SB</v>
      </c>
      <c r="P49" s="197" t="str">
        <f>'Mat P'!G25</f>
        <v>B</v>
      </c>
      <c r="Q49" s="197" t="str">
        <f>Bio!G25</f>
        <v>B</v>
      </c>
      <c r="R49" s="197" t="str">
        <f>Fis!G$15</f>
        <v>B</v>
      </c>
      <c r="S49" s="197" t="str">
        <f>Kim!G25</f>
        <v>SB</v>
      </c>
      <c r="T49" s="197" t="str">
        <f>'Eko (LM)'!$G$25</f>
        <v>SB</v>
      </c>
      <c r="U49" s="197">
        <f>'Lin2'!$G$25</f>
        <v>0</v>
      </c>
      <c r="V49" s="200"/>
      <c r="W49" s="701"/>
      <c r="X49" s="701"/>
      <c r="Y49" s="701"/>
      <c r="Z49" s="168"/>
      <c r="AA49" s="169"/>
      <c r="AF49" s="171"/>
    </row>
    <row r="50" spans="2:32" s="170" customFormat="1" ht="15.95" customHeight="1">
      <c r="B50" s="172"/>
      <c r="C50" s="670">
        <v>13</v>
      </c>
      <c r="D50" s="695" t="str">
        <f>DataSiswa!B20</f>
        <v>9970816998</v>
      </c>
      <c r="E50" s="741" t="str">
        <f>DataSiswa!C20</f>
        <v>Loura Oktaviola</v>
      </c>
      <c r="F50" s="201" t="s">
        <v>241</v>
      </c>
      <c r="G50" s="201">
        <f>AG!E26</f>
        <v>88</v>
      </c>
      <c r="H50" s="201">
        <f>PPKN!E26</f>
        <v>86</v>
      </c>
      <c r="I50" s="201">
        <f>B.ind!E26</f>
        <v>85</v>
      </c>
      <c r="J50" s="201">
        <f>'Mat W'!E26</f>
        <v>83</v>
      </c>
      <c r="K50" s="201">
        <f>Sej!E26</f>
        <v>88</v>
      </c>
      <c r="L50" s="201">
        <f>B.Ing!E26</f>
        <v>87</v>
      </c>
      <c r="M50" s="201">
        <f>Seni!E26</f>
        <v>87</v>
      </c>
      <c r="N50" s="201">
        <f>Jas!E26</f>
        <v>86</v>
      </c>
      <c r="O50" s="201">
        <f>Pra!E26</f>
        <v>87</v>
      </c>
      <c r="P50" s="201">
        <f>'Mat P'!E26</f>
        <v>84</v>
      </c>
      <c r="Q50" s="201">
        <f>Bio!E26</f>
        <v>86</v>
      </c>
      <c r="R50" s="201">
        <f>Fis!E26</f>
        <v>85</v>
      </c>
      <c r="S50" s="201">
        <f>Kim!E26</f>
        <v>87</v>
      </c>
      <c r="T50" s="201">
        <f>'Eko (LM)'!$E$26</f>
        <v>90</v>
      </c>
      <c r="U50" s="201">
        <f>'Lin2'!$E$26</f>
        <v>0</v>
      </c>
      <c r="V50" s="202">
        <f>AVERAGE(G50:U50)</f>
        <v>80.599999999999994</v>
      </c>
      <c r="W50" s="699">
        <f>Absen!G21</f>
        <v>2</v>
      </c>
      <c r="X50" s="699">
        <f>Absen!H21</f>
        <v>2</v>
      </c>
      <c r="Y50" s="699">
        <f>Absen!I21</f>
        <v>1</v>
      </c>
      <c r="Z50" s="168"/>
      <c r="AA50" s="169">
        <f>AVERAGE(G50:T50)</f>
        <v>86.357142857142861</v>
      </c>
      <c r="AF50" s="171"/>
    </row>
    <row r="51" spans="2:32" s="170" customFormat="1" ht="15.95" customHeight="1">
      <c r="B51" s="172"/>
      <c r="C51" s="694"/>
      <c r="D51" s="695" t="e">
        <f>#REF!</f>
        <v>#REF!</v>
      </c>
      <c r="E51" s="741" t="e">
        <f>#REF!</f>
        <v>#REF!</v>
      </c>
      <c r="F51" s="197" t="s">
        <v>242</v>
      </c>
      <c r="G51" s="197">
        <f>AG!F26</f>
        <v>94</v>
      </c>
      <c r="H51" s="197">
        <f>PPKN!F26</f>
        <v>90</v>
      </c>
      <c r="I51" s="197">
        <f>B.ind!F26</f>
        <v>84</v>
      </c>
      <c r="J51" s="197">
        <f>'Mat W'!F26</f>
        <v>85</v>
      </c>
      <c r="K51" s="197">
        <f>Sej!F26</f>
        <v>82</v>
      </c>
      <c r="L51" s="197">
        <f>B.Ing!F26</f>
        <v>85</v>
      </c>
      <c r="M51" s="197">
        <f>Seni!F26</f>
        <v>86</v>
      </c>
      <c r="N51" s="197">
        <f>Jas!F26</f>
        <v>90</v>
      </c>
      <c r="O51" s="197">
        <f>Pra!F26</f>
        <v>90</v>
      </c>
      <c r="P51" s="197">
        <f>'Mat P'!F26</f>
        <v>83</v>
      </c>
      <c r="Q51" s="197">
        <f>Bio!F26</f>
        <v>85</v>
      </c>
      <c r="R51" s="197">
        <f>Fis!F26</f>
        <v>85</v>
      </c>
      <c r="S51" s="197">
        <f>Kim!F26</f>
        <v>88</v>
      </c>
      <c r="T51" s="197">
        <f>'Eko (LM)'!$F$26</f>
        <v>88</v>
      </c>
      <c r="U51" s="197">
        <f>'Lin2'!$F$26</f>
        <v>0</v>
      </c>
      <c r="V51" s="202">
        <f>AVERAGE(G51:U51)</f>
        <v>81</v>
      </c>
      <c r="W51" s="700"/>
      <c r="X51" s="700"/>
      <c r="Y51" s="700"/>
      <c r="Z51" s="168"/>
      <c r="AA51" s="169"/>
      <c r="AF51" s="171"/>
    </row>
    <row r="52" spans="2:32" s="170" customFormat="1" ht="15.95" customHeight="1">
      <c r="B52" s="172"/>
      <c r="C52" s="694"/>
      <c r="D52" s="695" t="e">
        <f>#REF!</f>
        <v>#REF!</v>
      </c>
      <c r="E52" s="741" t="e">
        <f>#REF!</f>
        <v>#REF!</v>
      </c>
      <c r="F52" s="198" t="s">
        <v>40</v>
      </c>
      <c r="G52" s="197" t="str">
        <f>AG!G26</f>
        <v>SB</v>
      </c>
      <c r="H52" s="197" t="str">
        <f>PPKN!G26</f>
        <v>SB</v>
      </c>
      <c r="I52" s="197" t="str">
        <f>B.ind!G26</f>
        <v>B</v>
      </c>
      <c r="J52" s="197" t="str">
        <f>'Mat W'!G26</f>
        <v>B</v>
      </c>
      <c r="K52" s="197" t="str">
        <f>Sej!G26</f>
        <v>B</v>
      </c>
      <c r="L52" s="197" t="str">
        <f>B.Ing!G26</f>
        <v>B</v>
      </c>
      <c r="M52" s="197" t="str">
        <f>Seni!G26</f>
        <v>B</v>
      </c>
      <c r="N52" s="197" t="str">
        <f>Jas!G26</f>
        <v>B</v>
      </c>
      <c r="O52" s="197" t="str">
        <f>Pra!G26</f>
        <v>SB</v>
      </c>
      <c r="P52" s="197" t="str">
        <f>'Mat P'!G26</f>
        <v>B</v>
      </c>
      <c r="Q52" s="197" t="str">
        <f>Bio!G26</f>
        <v>B</v>
      </c>
      <c r="R52" s="197" t="str">
        <f>Fis!G$15</f>
        <v>B</v>
      </c>
      <c r="S52" s="197" t="str">
        <f>Kim!G26</f>
        <v>SB</v>
      </c>
      <c r="T52" s="197" t="str">
        <f>'Eko (LM)'!$G$26</f>
        <v>SB</v>
      </c>
      <c r="U52" s="197">
        <f>'Lin2'!$G$26</f>
        <v>0</v>
      </c>
      <c r="V52" s="200"/>
      <c r="W52" s="701"/>
      <c r="X52" s="701"/>
      <c r="Y52" s="701"/>
      <c r="Z52" s="168"/>
      <c r="AA52" s="169"/>
      <c r="AF52" s="171"/>
    </row>
    <row r="53" spans="2:32" s="170" customFormat="1" ht="18" customHeight="1">
      <c r="B53" s="172"/>
      <c r="C53" s="670">
        <v>14</v>
      </c>
      <c r="D53" s="695" t="str">
        <f>DataSiswa!B21</f>
        <v>9982095456</v>
      </c>
      <c r="E53" s="741" t="str">
        <f>DataSiswa!C21</f>
        <v>Lauren Dwina Arini</v>
      </c>
      <c r="F53" s="201" t="s">
        <v>241</v>
      </c>
      <c r="G53" s="201">
        <f>AG!E27</f>
        <v>85</v>
      </c>
      <c r="H53" s="201">
        <f>PPKN!E27</f>
        <v>86</v>
      </c>
      <c r="I53" s="201">
        <f>B.ind!E27</f>
        <v>85</v>
      </c>
      <c r="J53" s="201">
        <f>'Mat W'!E27</f>
        <v>84</v>
      </c>
      <c r="K53" s="201">
        <f>Sej!E27</f>
        <v>87</v>
      </c>
      <c r="L53" s="201">
        <f>B.Ing!E27</f>
        <v>87</v>
      </c>
      <c r="M53" s="201">
        <f>Seni!E27</f>
        <v>85</v>
      </c>
      <c r="N53" s="201">
        <f>Jas!E27</f>
        <v>89</v>
      </c>
      <c r="O53" s="201">
        <f>Pra!E27</f>
        <v>84</v>
      </c>
      <c r="P53" s="201">
        <f>'Mat P'!E27</f>
        <v>82</v>
      </c>
      <c r="Q53" s="201">
        <f>Bio!E27</f>
        <v>86</v>
      </c>
      <c r="R53" s="201">
        <f>Fis!E27</f>
        <v>83</v>
      </c>
      <c r="S53" s="201">
        <f>Kim!E27</f>
        <v>85</v>
      </c>
      <c r="T53" s="201">
        <f>'Eko (LM)'!$E$27</f>
        <v>86</v>
      </c>
      <c r="U53" s="201">
        <f>'Lin2'!$E$27</f>
        <v>0</v>
      </c>
      <c r="V53" s="202">
        <f>AVERAGE(G53:U53)</f>
        <v>79.599999999999994</v>
      </c>
      <c r="W53" s="699" t="str">
        <f>Absen!G22</f>
        <v>-</v>
      </c>
      <c r="X53" s="699" t="str">
        <f>Absen!H22</f>
        <v>-</v>
      </c>
      <c r="Y53" s="699">
        <f>Absen!I22</f>
        <v>2</v>
      </c>
      <c r="Z53" s="168"/>
      <c r="AA53" s="169">
        <f>AVERAGE(G53:T53)</f>
        <v>85.285714285714292</v>
      </c>
      <c r="AF53" s="171"/>
    </row>
    <row r="54" spans="2:32" s="170" customFormat="1" ht="15.95" customHeight="1">
      <c r="B54" s="172"/>
      <c r="C54" s="670"/>
      <c r="D54" s="695" t="e">
        <f>#REF!</f>
        <v>#REF!</v>
      </c>
      <c r="E54" s="741" t="e">
        <f>#REF!</f>
        <v>#REF!</v>
      </c>
      <c r="F54" s="197" t="s">
        <v>242</v>
      </c>
      <c r="G54" s="197">
        <f>AG!F27</f>
        <v>84</v>
      </c>
      <c r="H54" s="197">
        <f>PPKN!F27</f>
        <v>90</v>
      </c>
      <c r="I54" s="197">
        <f>B.ind!F27</f>
        <v>84</v>
      </c>
      <c r="J54" s="197">
        <f>'Mat W'!F27</f>
        <v>85</v>
      </c>
      <c r="K54" s="197">
        <f>Sej!F27</f>
        <v>84</v>
      </c>
      <c r="L54" s="197">
        <f>B.Ing!F27</f>
        <v>85</v>
      </c>
      <c r="M54" s="197">
        <f>Seni!F27</f>
        <v>85</v>
      </c>
      <c r="N54" s="197">
        <f>Jas!F27</f>
        <v>90</v>
      </c>
      <c r="O54" s="197">
        <f>Pra!F27</f>
        <v>90</v>
      </c>
      <c r="P54" s="197">
        <f>'Mat P'!F27</f>
        <v>82</v>
      </c>
      <c r="Q54" s="197">
        <f>Bio!F27</f>
        <v>85</v>
      </c>
      <c r="R54" s="197">
        <f>Fis!F27</f>
        <v>85</v>
      </c>
      <c r="S54" s="197">
        <f>Kim!F27</f>
        <v>87</v>
      </c>
      <c r="T54" s="197">
        <f>'Eko (LM)'!$F$27</f>
        <v>88</v>
      </c>
      <c r="U54" s="197">
        <f>'Lin2'!$F$27</f>
        <v>0</v>
      </c>
      <c r="V54" s="202">
        <f>AVERAGE(G54:U54)</f>
        <v>80.266666666666666</v>
      </c>
      <c r="W54" s="700"/>
      <c r="X54" s="700"/>
      <c r="Y54" s="700"/>
      <c r="Z54" s="168"/>
      <c r="AA54" s="169"/>
      <c r="AF54" s="171"/>
    </row>
    <row r="55" spans="2:32" s="170" customFormat="1" ht="15.95" customHeight="1">
      <c r="B55" s="172"/>
      <c r="C55" s="670"/>
      <c r="D55" s="695" t="e">
        <f>#REF!</f>
        <v>#REF!</v>
      </c>
      <c r="E55" s="741" t="e">
        <f>#REF!</f>
        <v>#REF!</v>
      </c>
      <c r="F55" s="198" t="s">
        <v>40</v>
      </c>
      <c r="G55" s="197" t="str">
        <f>AG!G27</f>
        <v>B</v>
      </c>
      <c r="H55" s="197" t="str">
        <f>PPKN!G27</f>
        <v>SB</v>
      </c>
      <c r="I55" s="197" t="str">
        <f>B.ind!G27</f>
        <v>B</v>
      </c>
      <c r="J55" s="197" t="str">
        <f>'Mat W'!G27</f>
        <v>B</v>
      </c>
      <c r="K55" s="197" t="str">
        <f>Sej!G27</f>
        <v>B</v>
      </c>
      <c r="L55" s="197" t="str">
        <f>B.Ing!G27</f>
        <v>B</v>
      </c>
      <c r="M55" s="197" t="str">
        <f>Seni!G27</f>
        <v>B</v>
      </c>
      <c r="N55" s="197" t="str">
        <f>Jas!G27</f>
        <v>B</v>
      </c>
      <c r="O55" s="197" t="str">
        <f>Pra!G27</f>
        <v>B</v>
      </c>
      <c r="P55" s="197" t="str">
        <f>'Mat P'!G27</f>
        <v>B</v>
      </c>
      <c r="Q55" s="197" t="str">
        <f>Bio!G27</f>
        <v>B</v>
      </c>
      <c r="R55" s="197" t="str">
        <f>Fis!G$15</f>
        <v>B</v>
      </c>
      <c r="S55" s="197" t="str">
        <f>Kim!G27</f>
        <v>B</v>
      </c>
      <c r="T55" s="197" t="str">
        <f>'Eko (LM)'!$G$27</f>
        <v>SB</v>
      </c>
      <c r="U55" s="197">
        <f>'Lin2'!$G$27</f>
        <v>0</v>
      </c>
      <c r="V55" s="200"/>
      <c r="W55" s="701"/>
      <c r="X55" s="701"/>
      <c r="Y55" s="701"/>
      <c r="Z55" s="168"/>
      <c r="AA55" s="169"/>
      <c r="AF55" s="171"/>
    </row>
    <row r="56" spans="2:32" s="170" customFormat="1" ht="15.95" customHeight="1">
      <c r="B56" s="172"/>
      <c r="C56" s="670">
        <v>15</v>
      </c>
      <c r="D56" s="695" t="str">
        <f>DataSiswa!B22</f>
        <v>9980817839</v>
      </c>
      <c r="E56" s="741" t="str">
        <f>DataSiswa!C22</f>
        <v>Leoni Syagna Velia</v>
      </c>
      <c r="F56" s="201" t="s">
        <v>241</v>
      </c>
      <c r="G56" s="201">
        <f>AG!E28</f>
        <v>91</v>
      </c>
      <c r="H56" s="201">
        <f>PPKN!E28</f>
        <v>92</v>
      </c>
      <c r="I56" s="201">
        <f>B.ind!E28</f>
        <v>84</v>
      </c>
      <c r="J56" s="201">
        <f>'Mat W'!E28</f>
        <v>91</v>
      </c>
      <c r="K56" s="201">
        <f>Sej!E28</f>
        <v>86</v>
      </c>
      <c r="L56" s="201">
        <f>B.Ing!E28</f>
        <v>86</v>
      </c>
      <c r="M56" s="201">
        <f>Seni!E28</f>
        <v>88</v>
      </c>
      <c r="N56" s="201">
        <f>Jas!E28</f>
        <v>86</v>
      </c>
      <c r="O56" s="201">
        <f>Pra!E28</f>
        <v>87</v>
      </c>
      <c r="P56" s="201">
        <f>'Mat P'!E28</f>
        <v>89</v>
      </c>
      <c r="Q56" s="201">
        <f>Bio!E28</f>
        <v>88</v>
      </c>
      <c r="R56" s="201">
        <f>Fis!E28</f>
        <v>85</v>
      </c>
      <c r="S56" s="201">
        <f>Kim!E28</f>
        <v>89</v>
      </c>
      <c r="T56" s="201">
        <f>'Eko (LM)'!$E$28</f>
        <v>91</v>
      </c>
      <c r="U56" s="201">
        <f>'Lin2'!$E$28</f>
        <v>0</v>
      </c>
      <c r="V56" s="202">
        <f>AVERAGE(G56:U56)</f>
        <v>82.2</v>
      </c>
      <c r="W56" s="699" t="str">
        <f>Absen!G23</f>
        <v>-</v>
      </c>
      <c r="X56" s="699">
        <f>Absen!H23</f>
        <v>1</v>
      </c>
      <c r="Y56" s="699" t="str">
        <f>Absen!I23</f>
        <v>-</v>
      </c>
      <c r="Z56" s="168"/>
      <c r="AA56" s="169">
        <f>AVERAGE(G56:T56)</f>
        <v>88.071428571428569</v>
      </c>
      <c r="AF56" s="171"/>
    </row>
    <row r="57" spans="2:32" s="170" customFormat="1" ht="15.95" customHeight="1">
      <c r="B57" s="172"/>
      <c r="C57" s="694"/>
      <c r="D57" s="695" t="e">
        <f>#REF!</f>
        <v>#REF!</v>
      </c>
      <c r="E57" s="741" t="e">
        <f>#REF!</f>
        <v>#REF!</v>
      </c>
      <c r="F57" s="197" t="s">
        <v>242</v>
      </c>
      <c r="G57" s="197">
        <f>AG!F28</f>
        <v>94</v>
      </c>
      <c r="H57" s="197">
        <f>PPKN!F28</f>
        <v>90</v>
      </c>
      <c r="I57" s="197">
        <f>B.ind!F28</f>
        <v>85</v>
      </c>
      <c r="J57" s="197">
        <f>'Mat W'!F28</f>
        <v>88</v>
      </c>
      <c r="K57" s="197">
        <f>Sej!F28</f>
        <v>81</v>
      </c>
      <c r="L57" s="197">
        <f>B.Ing!F28</f>
        <v>90</v>
      </c>
      <c r="M57" s="197">
        <f>Seni!F28</f>
        <v>87</v>
      </c>
      <c r="N57" s="197">
        <f>Jas!F28</f>
        <v>87</v>
      </c>
      <c r="O57" s="197">
        <f>Pra!F28</f>
        <v>92</v>
      </c>
      <c r="P57" s="197">
        <f>'Mat P'!F28</f>
        <v>88</v>
      </c>
      <c r="Q57" s="197">
        <f>Bio!F28</f>
        <v>88</v>
      </c>
      <c r="R57" s="197">
        <f>Fis!F28</f>
        <v>85</v>
      </c>
      <c r="S57" s="197">
        <f>Kim!F28</f>
        <v>89</v>
      </c>
      <c r="T57" s="197">
        <f>'Eko (LM)'!$F$28</f>
        <v>88</v>
      </c>
      <c r="U57" s="197">
        <f>'Lin2'!$F$28</f>
        <v>0</v>
      </c>
      <c r="V57" s="202">
        <f>AVERAGE(G57:U57)</f>
        <v>82.13333333333334</v>
      </c>
      <c r="W57" s="700"/>
      <c r="X57" s="700"/>
      <c r="Y57" s="700"/>
      <c r="Z57" s="168"/>
      <c r="AA57" s="169"/>
      <c r="AF57" s="171"/>
    </row>
    <row r="58" spans="2:32" s="170" customFormat="1" ht="15.95" customHeight="1">
      <c r="B58" s="172"/>
      <c r="C58" s="694"/>
      <c r="D58" s="695" t="e">
        <f>#REF!</f>
        <v>#REF!</v>
      </c>
      <c r="E58" s="741" t="e">
        <f>#REF!</f>
        <v>#REF!</v>
      </c>
      <c r="F58" s="198" t="s">
        <v>40</v>
      </c>
      <c r="G58" s="197" t="str">
        <f>AG!G28</f>
        <v>SB</v>
      </c>
      <c r="H58" s="197" t="str">
        <f>PPKN!G28</f>
        <v>SB</v>
      </c>
      <c r="I58" s="197" t="str">
        <f>B.ind!G28</f>
        <v>B</v>
      </c>
      <c r="J58" s="197" t="str">
        <f>'Mat W'!G28</f>
        <v>SB</v>
      </c>
      <c r="K58" s="197" t="str">
        <f>Sej!G28</f>
        <v>B</v>
      </c>
      <c r="L58" s="197" t="str">
        <f>B.Ing!G28</f>
        <v>B</v>
      </c>
      <c r="M58" s="197" t="str">
        <f>Seni!G28</f>
        <v>B</v>
      </c>
      <c r="N58" s="197" t="str">
        <f>Jas!G28</f>
        <v>B</v>
      </c>
      <c r="O58" s="197" t="str">
        <f>Pra!G28</f>
        <v>B</v>
      </c>
      <c r="P58" s="197" t="str">
        <f>'Mat P'!G28</f>
        <v>SB</v>
      </c>
      <c r="Q58" s="197" t="str">
        <f>Bio!G28</f>
        <v>B</v>
      </c>
      <c r="R58" s="197" t="str">
        <f>Fis!G$15</f>
        <v>B</v>
      </c>
      <c r="S58" s="197" t="str">
        <f>Kim!G28</f>
        <v>SB</v>
      </c>
      <c r="T58" s="197" t="str">
        <f>'Eko (LM)'!$G$28</f>
        <v>SB</v>
      </c>
      <c r="U58" s="197">
        <f>'Lin2'!$G$28</f>
        <v>0</v>
      </c>
      <c r="V58" s="200"/>
      <c r="W58" s="701"/>
      <c r="X58" s="701"/>
      <c r="Y58" s="701"/>
      <c r="Z58" s="168"/>
      <c r="AA58" s="169"/>
      <c r="AF58" s="171"/>
    </row>
    <row r="59" spans="2:32" s="170" customFormat="1" ht="15.95" customHeight="1">
      <c r="B59" s="172"/>
      <c r="C59" s="670">
        <v>16</v>
      </c>
      <c r="D59" s="695" t="str">
        <f>DataSiswa!B23</f>
        <v>9982885002</v>
      </c>
      <c r="E59" s="741" t="str">
        <f>DataSiswa!C23</f>
        <v>Mia Larisa Waskito</v>
      </c>
      <c r="F59" s="201" t="s">
        <v>241</v>
      </c>
      <c r="G59" s="201">
        <f>AG!E29</f>
        <v>91</v>
      </c>
      <c r="H59" s="201">
        <f>PPKN!E29</f>
        <v>91</v>
      </c>
      <c r="I59" s="201">
        <f>B.ind!E29</f>
        <v>84</v>
      </c>
      <c r="J59" s="201">
        <f>'Mat W'!E29</f>
        <v>91</v>
      </c>
      <c r="K59" s="201">
        <f>Sej!E29</f>
        <v>90</v>
      </c>
      <c r="L59" s="201">
        <f>B.Ing!E29</f>
        <v>88</v>
      </c>
      <c r="M59" s="201">
        <f>Seni!E29</f>
        <v>87</v>
      </c>
      <c r="N59" s="201">
        <f>Jas!E29</f>
        <v>86</v>
      </c>
      <c r="O59" s="201">
        <f>Pra!E29</f>
        <v>86</v>
      </c>
      <c r="P59" s="201">
        <f>'Mat P'!E29</f>
        <v>88</v>
      </c>
      <c r="Q59" s="201">
        <f>Bio!E29</f>
        <v>87</v>
      </c>
      <c r="R59" s="201">
        <f>Fis!E29</f>
        <v>87</v>
      </c>
      <c r="S59" s="201">
        <f>Kim!E29</f>
        <v>88</v>
      </c>
      <c r="T59" s="201">
        <f>'Eko (LM)'!$E$29</f>
        <v>89</v>
      </c>
      <c r="U59" s="201">
        <f>'Lin2'!$E$29</f>
        <v>0</v>
      </c>
      <c r="V59" s="204">
        <f>AVERAGE(G59:U59)</f>
        <v>82.2</v>
      </c>
      <c r="W59" s="699" t="str">
        <f>Absen!G24</f>
        <v>-</v>
      </c>
      <c r="X59" s="699" t="str">
        <f>Absen!H24</f>
        <v>-</v>
      </c>
      <c r="Y59" s="699" t="str">
        <f>Absen!I24</f>
        <v>-</v>
      </c>
      <c r="Z59" s="168"/>
      <c r="AA59" s="169">
        <f>AVERAGE(G59:T59)</f>
        <v>88.071428571428569</v>
      </c>
      <c r="AF59" s="171"/>
    </row>
    <row r="60" spans="2:32" s="170" customFormat="1" ht="15.95" customHeight="1">
      <c r="B60" s="172"/>
      <c r="C60" s="670"/>
      <c r="D60" s="695" t="e">
        <f>#REF!</f>
        <v>#REF!</v>
      </c>
      <c r="E60" s="741" t="e">
        <f>#REF!</f>
        <v>#REF!</v>
      </c>
      <c r="F60" s="197" t="s">
        <v>242</v>
      </c>
      <c r="G60" s="197">
        <f>AG!F29</f>
        <v>95</v>
      </c>
      <c r="H60" s="197">
        <f>PPKN!F29</f>
        <v>90</v>
      </c>
      <c r="I60" s="197">
        <f>B.ind!F29</f>
        <v>85</v>
      </c>
      <c r="J60" s="197">
        <f>'Mat W'!F29</f>
        <v>88</v>
      </c>
      <c r="K60" s="197">
        <f>Sej!F29</f>
        <v>90</v>
      </c>
      <c r="L60" s="197">
        <f>B.Ing!F29</f>
        <v>90</v>
      </c>
      <c r="M60" s="197">
        <f>Seni!F29</f>
        <v>86</v>
      </c>
      <c r="N60" s="197">
        <f>Jas!F29</f>
        <v>86</v>
      </c>
      <c r="O60" s="197">
        <f>Pra!F29</f>
        <v>92</v>
      </c>
      <c r="P60" s="197">
        <f>'Mat P'!F29</f>
        <v>86</v>
      </c>
      <c r="Q60" s="197">
        <f>Bio!F29</f>
        <v>86</v>
      </c>
      <c r="R60" s="197">
        <f>Fis!F29</f>
        <v>85</v>
      </c>
      <c r="S60" s="197">
        <f>Kim!F29</f>
        <v>92</v>
      </c>
      <c r="T60" s="197">
        <f>'Eko (LM)'!$F$29</f>
        <v>88</v>
      </c>
      <c r="U60" s="197">
        <f>'Lin2'!$F$29</f>
        <v>0</v>
      </c>
      <c r="V60" s="202">
        <f>AVERAGE(G60:U60)</f>
        <v>82.6</v>
      </c>
      <c r="W60" s="700"/>
      <c r="X60" s="700"/>
      <c r="Y60" s="700"/>
      <c r="Z60" s="168"/>
      <c r="AA60" s="169"/>
      <c r="AF60" s="171"/>
    </row>
    <row r="61" spans="2:32" s="170" customFormat="1" ht="15.95" customHeight="1">
      <c r="B61" s="172"/>
      <c r="C61" s="670"/>
      <c r="D61" s="695" t="e">
        <f>#REF!</f>
        <v>#REF!</v>
      </c>
      <c r="E61" s="741" t="e">
        <f>#REF!</f>
        <v>#REF!</v>
      </c>
      <c r="F61" s="198" t="s">
        <v>40</v>
      </c>
      <c r="G61" s="198" t="str">
        <f>AG!G29</f>
        <v>SB</v>
      </c>
      <c r="H61" s="198" t="str">
        <f>PPKN!G29</f>
        <v>SB</v>
      </c>
      <c r="I61" s="198" t="str">
        <f>B.ind!G29</f>
        <v>B</v>
      </c>
      <c r="J61" s="198" t="str">
        <f>'Mat W'!G29</f>
        <v>SB</v>
      </c>
      <c r="K61" s="198" t="str">
        <f>Sej!G29</f>
        <v>SB</v>
      </c>
      <c r="L61" s="198" t="str">
        <f>B.Ing!G29</f>
        <v>B</v>
      </c>
      <c r="M61" s="198" t="str">
        <f>Seni!G29</f>
        <v>B</v>
      </c>
      <c r="N61" s="198" t="str">
        <f>Jas!G29</f>
        <v>B</v>
      </c>
      <c r="O61" s="198" t="str">
        <f>Pra!G29</f>
        <v>B</v>
      </c>
      <c r="P61" s="198" t="str">
        <f>'Mat P'!G29</f>
        <v>B</v>
      </c>
      <c r="Q61" s="198" t="str">
        <f>Bio!G29</f>
        <v>B</v>
      </c>
      <c r="R61" s="198" t="str">
        <f>Fis!G$15</f>
        <v>B</v>
      </c>
      <c r="S61" s="198" t="str">
        <f>Kim!G29</f>
        <v>SB</v>
      </c>
      <c r="T61" s="198" t="str">
        <f>'Eko (LM)'!$G$29</f>
        <v>SB</v>
      </c>
      <c r="U61" s="198">
        <f>'Lin2'!$G$29</f>
        <v>0</v>
      </c>
      <c r="V61" s="200"/>
      <c r="W61" s="701"/>
      <c r="X61" s="701"/>
      <c r="Y61" s="701"/>
      <c r="Z61" s="168"/>
      <c r="AA61" s="169"/>
      <c r="AF61" s="171"/>
    </row>
    <row r="62" spans="2:32" s="170" customFormat="1" ht="15.95" customHeight="1">
      <c r="B62" s="172"/>
      <c r="C62" s="670">
        <v>17</v>
      </c>
      <c r="D62" s="695" t="str">
        <f>DataSiswa!B24</f>
        <v>9983996707</v>
      </c>
      <c r="E62" s="741" t="str">
        <f>DataSiswa!C24</f>
        <v>Muhammad Fadel</v>
      </c>
      <c r="F62" s="201" t="s">
        <v>241</v>
      </c>
      <c r="G62" s="201">
        <f>AG!E30</f>
        <v>91</v>
      </c>
      <c r="H62" s="201">
        <f>PPKN!E30</f>
        <v>92</v>
      </c>
      <c r="I62" s="201">
        <f>B.ind!E30</f>
        <v>85</v>
      </c>
      <c r="J62" s="201">
        <f>'Mat W'!E30</f>
        <v>92</v>
      </c>
      <c r="K62" s="201">
        <f>Sej!E30</f>
        <v>88</v>
      </c>
      <c r="L62" s="201">
        <f>B.Ing!E30</f>
        <v>89</v>
      </c>
      <c r="M62" s="201">
        <f>Seni!E30</f>
        <v>87</v>
      </c>
      <c r="N62" s="201">
        <f>Jas!E30</f>
        <v>89</v>
      </c>
      <c r="O62" s="201">
        <f>Pra!E30</f>
        <v>88</v>
      </c>
      <c r="P62" s="201">
        <f>'Mat P'!E30</f>
        <v>87</v>
      </c>
      <c r="Q62" s="201">
        <f>Bio!E30</f>
        <v>89</v>
      </c>
      <c r="R62" s="201">
        <f>Fis!E30</f>
        <v>89</v>
      </c>
      <c r="S62" s="201">
        <f>Kim!E30</f>
        <v>88</v>
      </c>
      <c r="T62" s="201">
        <f>'Eko (LM)'!$E$30</f>
        <v>90</v>
      </c>
      <c r="U62" s="201">
        <f>'Lin2'!$E$30</f>
        <v>0</v>
      </c>
      <c r="V62" s="204">
        <f>AVERAGE(G62:U62)</f>
        <v>82.933333333333337</v>
      </c>
      <c r="W62" s="699">
        <f>Absen!G25</f>
        <v>1</v>
      </c>
      <c r="X62" s="699">
        <f>Absen!H25</f>
        <v>1</v>
      </c>
      <c r="Y62" s="699" t="str">
        <f>Absen!I25</f>
        <v>-</v>
      </c>
      <c r="Z62" s="168"/>
      <c r="AA62" s="169">
        <f>AVERAGE(G62:T62)</f>
        <v>88.857142857142861</v>
      </c>
      <c r="AF62" s="171"/>
    </row>
    <row r="63" spans="2:32" s="170" customFormat="1" ht="15.95" customHeight="1">
      <c r="B63" s="172"/>
      <c r="C63" s="694"/>
      <c r="D63" s="695" t="e">
        <f>#REF!</f>
        <v>#REF!</v>
      </c>
      <c r="E63" s="741" t="e">
        <f>#REF!</f>
        <v>#REF!</v>
      </c>
      <c r="F63" s="197" t="s">
        <v>242</v>
      </c>
      <c r="G63" s="197">
        <f>AG!F30</f>
        <v>96</v>
      </c>
      <c r="H63" s="197">
        <f>PPKN!F30</f>
        <v>90</v>
      </c>
      <c r="I63" s="197">
        <f>B.ind!F30</f>
        <v>85</v>
      </c>
      <c r="J63" s="197">
        <f>'Mat W'!F30</f>
        <v>88</v>
      </c>
      <c r="K63" s="197">
        <f>Sej!F30</f>
        <v>85</v>
      </c>
      <c r="L63" s="197">
        <f>B.Ing!F30</f>
        <v>87</v>
      </c>
      <c r="M63" s="197">
        <f>Seni!F30</f>
        <v>87</v>
      </c>
      <c r="N63" s="197">
        <f>Jas!F30</f>
        <v>90</v>
      </c>
      <c r="O63" s="197">
        <f>Pra!F30</f>
        <v>92</v>
      </c>
      <c r="P63" s="197">
        <f>'Mat P'!F30</f>
        <v>90</v>
      </c>
      <c r="Q63" s="197">
        <f>Bio!F30</f>
        <v>90</v>
      </c>
      <c r="R63" s="197">
        <f>Fis!F30</f>
        <v>85</v>
      </c>
      <c r="S63" s="197">
        <f>Kim!F30</f>
        <v>92</v>
      </c>
      <c r="T63" s="197">
        <f>'Eko (LM)'!$F$30</f>
        <v>88</v>
      </c>
      <c r="U63" s="197">
        <f>'Lin2'!$F$30</f>
        <v>0</v>
      </c>
      <c r="V63" s="202">
        <f>AVERAGE(G63:U63)</f>
        <v>83</v>
      </c>
      <c r="W63" s="700"/>
      <c r="X63" s="700"/>
      <c r="Y63" s="700"/>
      <c r="Z63" s="168"/>
      <c r="AA63" s="169"/>
      <c r="AF63" s="171"/>
    </row>
    <row r="64" spans="2:32" s="170" customFormat="1" ht="15.95" customHeight="1">
      <c r="B64" s="172"/>
      <c r="C64" s="694"/>
      <c r="D64" s="695" t="e">
        <f>#REF!</f>
        <v>#REF!</v>
      </c>
      <c r="E64" s="741" t="e">
        <f>#REF!</f>
        <v>#REF!</v>
      </c>
      <c r="F64" s="198" t="s">
        <v>40</v>
      </c>
      <c r="G64" s="197" t="str">
        <f>AG!G30</f>
        <v>SB</v>
      </c>
      <c r="H64" s="197" t="str">
        <f>PPKN!G30</f>
        <v>SB</v>
      </c>
      <c r="I64" s="197" t="str">
        <f>B.ind!G30</f>
        <v>B</v>
      </c>
      <c r="J64" s="197" t="str">
        <f>'Mat W'!G30</f>
        <v>SB</v>
      </c>
      <c r="K64" s="197" t="str">
        <f>Sej!G30</f>
        <v>B</v>
      </c>
      <c r="L64" s="197" t="str">
        <f>B.Ing!G30</f>
        <v>B</v>
      </c>
      <c r="M64" s="197" t="str">
        <f>Seni!G30</f>
        <v>B</v>
      </c>
      <c r="N64" s="197" t="str">
        <f>Jas!G30</f>
        <v>B</v>
      </c>
      <c r="O64" s="197" t="str">
        <f>Pra!G30</f>
        <v>SB</v>
      </c>
      <c r="P64" s="197" t="str">
        <f>'Mat P'!G30</f>
        <v>SB</v>
      </c>
      <c r="Q64" s="197" t="str">
        <f>Bio!G30</f>
        <v>SB</v>
      </c>
      <c r="R64" s="197" t="str">
        <f>Fis!G$15</f>
        <v>B</v>
      </c>
      <c r="S64" s="197" t="str">
        <f>Kim!G30</f>
        <v>SB</v>
      </c>
      <c r="T64" s="197" t="str">
        <f>'Eko (LM)'!$G$30</f>
        <v>SB</v>
      </c>
      <c r="U64" s="198">
        <f>'Lin2'!$G$30</f>
        <v>0</v>
      </c>
      <c r="V64" s="200"/>
      <c r="W64" s="701"/>
      <c r="X64" s="701"/>
      <c r="Y64" s="701"/>
      <c r="Z64" s="168"/>
      <c r="AA64" s="169"/>
      <c r="AF64" s="171"/>
    </row>
    <row r="65" spans="2:32" s="170" customFormat="1" ht="15.95" customHeight="1">
      <c r="B65" s="172"/>
      <c r="C65" s="670">
        <v>18</v>
      </c>
      <c r="D65" s="695" t="str">
        <f>DataSiswa!B25</f>
        <v>9981328630</v>
      </c>
      <c r="E65" s="741" t="str">
        <f>DataSiswa!C25</f>
        <v>Muhammad Ilham Fajri</v>
      </c>
      <c r="F65" s="201" t="s">
        <v>241</v>
      </c>
      <c r="G65" s="201">
        <f>AG!E31</f>
        <v>89</v>
      </c>
      <c r="H65" s="201">
        <f>PPKN!E31</f>
        <v>91</v>
      </c>
      <c r="I65" s="201">
        <f>B.ind!E31</f>
        <v>85</v>
      </c>
      <c r="J65" s="201">
        <f>'Mat W'!E31</f>
        <v>83</v>
      </c>
      <c r="K65" s="201">
        <f>Sej!E31</f>
        <v>88</v>
      </c>
      <c r="L65" s="201">
        <f>B.Ing!E31</f>
        <v>86</v>
      </c>
      <c r="M65" s="201">
        <f>Seni!E31</f>
        <v>86</v>
      </c>
      <c r="N65" s="201">
        <f>Jas!E31</f>
        <v>90</v>
      </c>
      <c r="O65" s="201">
        <f>Pra!E31</f>
        <v>85</v>
      </c>
      <c r="P65" s="201">
        <f>'Mat P'!E31</f>
        <v>84</v>
      </c>
      <c r="Q65" s="201">
        <f>Bio!E31</f>
        <v>87</v>
      </c>
      <c r="R65" s="201">
        <f>Fis!E31</f>
        <v>84</v>
      </c>
      <c r="S65" s="201">
        <f>Kim!E31</f>
        <v>85</v>
      </c>
      <c r="T65" s="201">
        <f>'Eko (LM)'!$E$31</f>
        <v>85</v>
      </c>
      <c r="U65" s="201">
        <f>'Lin2'!$E$31</f>
        <v>0</v>
      </c>
      <c r="V65" s="202">
        <f>AVERAGE(G65:U65)</f>
        <v>80.533333333333331</v>
      </c>
      <c r="W65" s="699" t="str">
        <f>Absen!G26</f>
        <v>-</v>
      </c>
      <c r="X65" s="699">
        <f>Absen!H26</f>
        <v>1</v>
      </c>
      <c r="Y65" s="699">
        <f>Absen!I26</f>
        <v>1</v>
      </c>
      <c r="Z65" s="168"/>
      <c r="AA65" s="169">
        <f>AVERAGE(G65:T65)</f>
        <v>86.285714285714292</v>
      </c>
      <c r="AF65" s="171"/>
    </row>
    <row r="66" spans="2:32" s="170" customFormat="1" ht="15.95" customHeight="1">
      <c r="B66" s="172"/>
      <c r="C66" s="670"/>
      <c r="D66" s="695" t="e">
        <f>#REF!</f>
        <v>#REF!</v>
      </c>
      <c r="E66" s="741" t="e">
        <f>#REF!</f>
        <v>#REF!</v>
      </c>
      <c r="F66" s="197" t="s">
        <v>242</v>
      </c>
      <c r="G66" s="197">
        <f>AG!F31</f>
        <v>95</v>
      </c>
      <c r="H66" s="197">
        <f>PPKN!F31</f>
        <v>88</v>
      </c>
      <c r="I66" s="197">
        <f>B.ind!F31</f>
        <v>86</v>
      </c>
      <c r="J66" s="197">
        <f>'Mat W'!F31</f>
        <v>86</v>
      </c>
      <c r="K66" s="197">
        <f>Sej!F31</f>
        <v>84</v>
      </c>
      <c r="L66" s="197">
        <f>B.Ing!F31</f>
        <v>85</v>
      </c>
      <c r="M66" s="197">
        <f>Seni!F31</f>
        <v>86</v>
      </c>
      <c r="N66" s="197">
        <f>Jas!F31</f>
        <v>90</v>
      </c>
      <c r="O66" s="197">
        <f>Pra!F31</f>
        <v>90</v>
      </c>
      <c r="P66" s="197">
        <f>'Mat P'!F31</f>
        <v>84</v>
      </c>
      <c r="Q66" s="197">
        <f>Bio!F31</f>
        <v>85</v>
      </c>
      <c r="R66" s="197">
        <f>Fis!F31</f>
        <v>85</v>
      </c>
      <c r="S66" s="197">
        <f>Kim!F31</f>
        <v>88</v>
      </c>
      <c r="T66" s="197">
        <f>'Eko (LM)'!$F$31</f>
        <v>88</v>
      </c>
      <c r="U66" s="197">
        <f>'Lin2'!$F$31</f>
        <v>0</v>
      </c>
      <c r="V66" s="202">
        <f>AVERAGE(G66:U66)</f>
        <v>81.333333333333329</v>
      </c>
      <c r="W66" s="700"/>
      <c r="X66" s="700"/>
      <c r="Y66" s="700"/>
      <c r="Z66" s="168"/>
      <c r="AA66" s="169"/>
      <c r="AF66" s="171"/>
    </row>
    <row r="67" spans="2:32" s="170" customFormat="1" ht="15.95" customHeight="1">
      <c r="B67" s="172"/>
      <c r="C67" s="670"/>
      <c r="D67" s="695" t="e">
        <f>#REF!</f>
        <v>#REF!</v>
      </c>
      <c r="E67" s="741" t="e">
        <f>#REF!</f>
        <v>#REF!</v>
      </c>
      <c r="F67" s="198" t="s">
        <v>40</v>
      </c>
      <c r="G67" s="197" t="str">
        <f>AG!G31</f>
        <v>SB</v>
      </c>
      <c r="H67" s="197" t="str">
        <f>PPKN!G31</f>
        <v>SB</v>
      </c>
      <c r="I67" s="197" t="str">
        <f>B.ind!G31</f>
        <v>B</v>
      </c>
      <c r="J67" s="197" t="str">
        <f>'Mat W'!G31</f>
        <v>B</v>
      </c>
      <c r="K67" s="197" t="str">
        <f>Sej!G31</f>
        <v>B</v>
      </c>
      <c r="L67" s="197" t="str">
        <f>B.Ing!G31</f>
        <v>B</v>
      </c>
      <c r="M67" s="197" t="str">
        <f>Seni!G31</f>
        <v>B</v>
      </c>
      <c r="N67" s="197" t="str">
        <f>Jas!G31</f>
        <v>B</v>
      </c>
      <c r="O67" s="197" t="str">
        <f>Pra!G31</f>
        <v>SB</v>
      </c>
      <c r="P67" s="197" t="str">
        <f>'Mat P'!G31</f>
        <v>B</v>
      </c>
      <c r="Q67" s="197" t="str">
        <f>Bio!G31</f>
        <v>B</v>
      </c>
      <c r="R67" s="197" t="str">
        <f>Fis!G$15</f>
        <v>B</v>
      </c>
      <c r="S67" s="197" t="str">
        <f>Kim!G31</f>
        <v>SB</v>
      </c>
      <c r="T67" s="197" t="str">
        <f>'Eko (LM)'!$G$31</f>
        <v>SB</v>
      </c>
      <c r="U67" s="197">
        <f>'Lin2'!$G$31</f>
        <v>0</v>
      </c>
      <c r="V67" s="200"/>
      <c r="W67" s="701"/>
      <c r="X67" s="701"/>
      <c r="Y67" s="701"/>
      <c r="Z67" s="168"/>
      <c r="AA67" s="169"/>
      <c r="AF67" s="171"/>
    </row>
    <row r="68" spans="2:32" s="170" customFormat="1" ht="15.95" customHeight="1">
      <c r="B68" s="172"/>
      <c r="C68" s="670">
        <v>19</v>
      </c>
      <c r="D68" s="695" t="str">
        <f>DataSiswa!B26</f>
        <v>9980830799</v>
      </c>
      <c r="E68" s="741" t="str">
        <f>DataSiswa!C26</f>
        <v>Muhammad Irfan</v>
      </c>
      <c r="F68" s="201" t="s">
        <v>241</v>
      </c>
      <c r="G68" s="201">
        <f>AG!E32</f>
        <v>92</v>
      </c>
      <c r="H68" s="201">
        <f>PPKN!E32</f>
        <v>92</v>
      </c>
      <c r="I68" s="201">
        <f>B.ind!E32</f>
        <v>87</v>
      </c>
      <c r="J68" s="201">
        <f>'Mat W'!E32</f>
        <v>94</v>
      </c>
      <c r="K68" s="201">
        <f>Sej!E32</f>
        <v>90</v>
      </c>
      <c r="L68" s="201">
        <f>B.Ing!E32</f>
        <v>89</v>
      </c>
      <c r="M68" s="201">
        <f>Seni!E32</f>
        <v>90</v>
      </c>
      <c r="N68" s="201">
        <f>Jas!E32</f>
        <v>89</v>
      </c>
      <c r="O68" s="201">
        <f>Pra!E32</f>
        <v>87</v>
      </c>
      <c r="P68" s="201">
        <f>'Mat P'!E32</f>
        <v>92</v>
      </c>
      <c r="Q68" s="201">
        <f>Bio!E32</f>
        <v>90</v>
      </c>
      <c r="R68" s="201">
        <f>Fis!E32</f>
        <v>89</v>
      </c>
      <c r="S68" s="201">
        <f>Kim!E32</f>
        <v>93</v>
      </c>
      <c r="T68" s="201">
        <f>'Eko (LM)'!$E$32</f>
        <v>89</v>
      </c>
      <c r="U68" s="201">
        <f>'Lin2'!$E$32</f>
        <v>0</v>
      </c>
      <c r="V68" s="202">
        <f>AVERAGE(G68:U68)</f>
        <v>84.2</v>
      </c>
      <c r="W68" s="699" t="str">
        <f>Absen!G27</f>
        <v>-</v>
      </c>
      <c r="X68" s="699">
        <f>Absen!H27</f>
        <v>3</v>
      </c>
      <c r="Y68" s="699" t="str">
        <f>Absen!I27</f>
        <v>-</v>
      </c>
      <c r="Z68" s="168"/>
      <c r="AA68" s="169">
        <f>AVERAGE(G68:T68)</f>
        <v>90.214285714285708</v>
      </c>
      <c r="AF68" s="171"/>
    </row>
    <row r="69" spans="2:32" s="170" customFormat="1" ht="15.95" customHeight="1">
      <c r="B69" s="172"/>
      <c r="C69" s="694"/>
      <c r="D69" s="695" t="e">
        <f>#REF!</f>
        <v>#REF!</v>
      </c>
      <c r="E69" s="741" t="e">
        <f>#REF!</f>
        <v>#REF!</v>
      </c>
      <c r="F69" s="197" t="s">
        <v>242</v>
      </c>
      <c r="G69" s="197">
        <f>AG!F32</f>
        <v>96</v>
      </c>
      <c r="H69" s="197">
        <f>PPKN!F32</f>
        <v>92</v>
      </c>
      <c r="I69" s="197">
        <f>B.ind!F32</f>
        <v>88</v>
      </c>
      <c r="J69" s="197">
        <f>'Mat W'!F32</f>
        <v>88</v>
      </c>
      <c r="K69" s="197">
        <f>Sej!F32</f>
        <v>90</v>
      </c>
      <c r="L69" s="197">
        <f>B.Ing!F32</f>
        <v>90</v>
      </c>
      <c r="M69" s="197">
        <f>Seni!F32</f>
        <v>88</v>
      </c>
      <c r="N69" s="197">
        <f>Jas!F32</f>
        <v>90</v>
      </c>
      <c r="O69" s="197">
        <f>Pra!F32</f>
        <v>92</v>
      </c>
      <c r="P69" s="197">
        <f>'Mat P'!F32</f>
        <v>90</v>
      </c>
      <c r="Q69" s="197">
        <f>Bio!F32</f>
        <v>90</v>
      </c>
      <c r="R69" s="197">
        <f>Fis!F32</f>
        <v>85</v>
      </c>
      <c r="S69" s="197">
        <f>Kim!F32</f>
        <v>94</v>
      </c>
      <c r="T69" s="197">
        <f>'Eko (LM)'!$F$32</f>
        <v>88</v>
      </c>
      <c r="U69" s="197">
        <f>'Lin2'!$F$32</f>
        <v>0</v>
      </c>
      <c r="V69" s="202">
        <f>AVERAGE(G69:U69)</f>
        <v>84.066666666666663</v>
      </c>
      <c r="W69" s="700"/>
      <c r="X69" s="700"/>
      <c r="Y69" s="700"/>
      <c r="Z69" s="168"/>
      <c r="AA69" s="169"/>
      <c r="AF69" s="171"/>
    </row>
    <row r="70" spans="2:32" s="170" customFormat="1" ht="15.95" customHeight="1">
      <c r="B70" s="172"/>
      <c r="C70" s="694"/>
      <c r="D70" s="695" t="e">
        <f>#REF!</f>
        <v>#REF!</v>
      </c>
      <c r="E70" s="741" t="e">
        <f>#REF!</f>
        <v>#REF!</v>
      </c>
      <c r="F70" s="198" t="s">
        <v>40</v>
      </c>
      <c r="G70" s="197" t="str">
        <f>AG!G32</f>
        <v>SB</v>
      </c>
      <c r="H70" s="197" t="str">
        <f>PPKN!G32</f>
        <v>SB</v>
      </c>
      <c r="I70" s="197" t="str">
        <f>B.ind!G32</f>
        <v>B</v>
      </c>
      <c r="J70" s="197" t="str">
        <f>'Mat W'!G32</f>
        <v>SB</v>
      </c>
      <c r="K70" s="197" t="str">
        <f>Sej!G32</f>
        <v>SB</v>
      </c>
      <c r="L70" s="197" t="str">
        <f>B.Ing!G32</f>
        <v>B</v>
      </c>
      <c r="M70" s="197" t="str">
        <f>Seni!G32</f>
        <v>B</v>
      </c>
      <c r="N70" s="197" t="str">
        <f>Jas!G32</f>
        <v>B</v>
      </c>
      <c r="O70" s="197" t="str">
        <f>Pra!G32</f>
        <v>SB</v>
      </c>
      <c r="P70" s="197" t="str">
        <f>'Mat P'!G32</f>
        <v>SB</v>
      </c>
      <c r="Q70" s="197" t="str">
        <f>Bio!G32</f>
        <v>SB</v>
      </c>
      <c r="R70" s="197" t="str">
        <f>Fis!G$15</f>
        <v>B</v>
      </c>
      <c r="S70" s="197" t="str">
        <f>Kim!G32</f>
        <v>SB</v>
      </c>
      <c r="T70" s="197" t="str">
        <f>'Eko (LM)'!$G$32</f>
        <v>SB</v>
      </c>
      <c r="U70" s="197">
        <f>'Lin2'!$G$32</f>
        <v>0</v>
      </c>
      <c r="V70" s="200"/>
      <c r="W70" s="701"/>
      <c r="X70" s="701"/>
      <c r="Y70" s="701"/>
      <c r="Z70" s="168"/>
      <c r="AA70" s="169"/>
      <c r="AF70" s="171"/>
    </row>
    <row r="71" spans="2:32" s="170" customFormat="1" ht="15.95" customHeight="1">
      <c r="B71" s="172"/>
      <c r="C71" s="670">
        <v>20</v>
      </c>
      <c r="D71" s="702" t="str">
        <f>DataSiswa!B27</f>
        <v>9981704177</v>
      </c>
      <c r="E71" s="742" t="str">
        <f>DataSiswa!C27</f>
        <v>Naura Cantika</v>
      </c>
      <c r="F71" s="201" t="s">
        <v>241</v>
      </c>
      <c r="G71" s="201">
        <f>AG!E33</f>
        <v>92</v>
      </c>
      <c r="H71" s="201">
        <f>PPKN!E33</f>
        <v>90</v>
      </c>
      <c r="I71" s="201">
        <f>B.ind!E33</f>
        <v>84</v>
      </c>
      <c r="J71" s="201">
        <f>'Mat W'!E33</f>
        <v>91</v>
      </c>
      <c r="K71" s="201">
        <f>Sej!E33</f>
        <v>86</v>
      </c>
      <c r="L71" s="201">
        <f>B.Ing!E33</f>
        <v>86</v>
      </c>
      <c r="M71" s="201">
        <f>Seni!E33</f>
        <v>86</v>
      </c>
      <c r="N71" s="201">
        <f>Jas!E33</f>
        <v>88</v>
      </c>
      <c r="O71" s="201">
        <f>Pra!E33</f>
        <v>87</v>
      </c>
      <c r="P71" s="201">
        <f>'Mat P'!E33</f>
        <v>86</v>
      </c>
      <c r="Q71" s="201">
        <f>Bio!E33</f>
        <v>87</v>
      </c>
      <c r="R71" s="201">
        <f>Fis!E33</f>
        <v>86</v>
      </c>
      <c r="S71" s="201">
        <f>Kim!E33</f>
        <v>91</v>
      </c>
      <c r="T71" s="201">
        <f>'Eko (LM)'!$E$33</f>
        <v>90</v>
      </c>
      <c r="U71" s="201">
        <f>'Lin2'!$E$33</f>
        <v>0</v>
      </c>
      <c r="V71" s="202">
        <f>AVERAGE(G71:U71)</f>
        <v>82</v>
      </c>
      <c r="W71" s="699" t="str">
        <f>Absen!G28</f>
        <v>-</v>
      </c>
      <c r="X71" s="699" t="str">
        <f>Absen!H28</f>
        <v>-</v>
      </c>
      <c r="Y71" s="699">
        <f>Absen!I28</f>
        <v>1</v>
      </c>
      <c r="Z71" s="168"/>
      <c r="AA71" s="169">
        <f>AVERAGE(G71:T71)</f>
        <v>87.857142857142861</v>
      </c>
      <c r="AF71" s="171"/>
    </row>
    <row r="72" spans="2:32" s="170" customFormat="1" ht="15.95" customHeight="1">
      <c r="B72" s="172"/>
      <c r="C72" s="670"/>
      <c r="D72" s="703"/>
      <c r="E72" s="739"/>
      <c r="F72" s="197" t="s">
        <v>242</v>
      </c>
      <c r="G72" s="197">
        <f>AG!F33</f>
        <v>94</v>
      </c>
      <c r="H72" s="197">
        <f>PPKN!F33</f>
        <v>90</v>
      </c>
      <c r="I72" s="197">
        <f>B.ind!F33</f>
        <v>85</v>
      </c>
      <c r="J72" s="197">
        <f>'Mat W'!F33</f>
        <v>88</v>
      </c>
      <c r="K72" s="197">
        <f>Sej!F33</f>
        <v>84</v>
      </c>
      <c r="L72" s="197">
        <f>B.Ing!F33</f>
        <v>86</v>
      </c>
      <c r="M72" s="197">
        <f>Seni!F33</f>
        <v>85</v>
      </c>
      <c r="N72" s="197">
        <f>Jas!F33</f>
        <v>90</v>
      </c>
      <c r="O72" s="197">
        <f>Pra!F33</f>
        <v>92</v>
      </c>
      <c r="P72" s="197">
        <f>'Mat P'!F33</f>
        <v>86</v>
      </c>
      <c r="Q72" s="197">
        <f>Bio!F33</f>
        <v>85</v>
      </c>
      <c r="R72" s="197">
        <f>Fis!F33</f>
        <v>85</v>
      </c>
      <c r="S72" s="197">
        <f>Kim!F33</f>
        <v>92</v>
      </c>
      <c r="T72" s="197">
        <f>'Eko (LM)'!$F$33</f>
        <v>88</v>
      </c>
      <c r="U72" s="197">
        <f>'Lin2'!$F$33</f>
        <v>0</v>
      </c>
      <c r="V72" s="202">
        <f>AVERAGE(G72:U72)</f>
        <v>82</v>
      </c>
      <c r="W72" s="700"/>
      <c r="X72" s="700"/>
      <c r="Y72" s="700"/>
      <c r="Z72" s="168"/>
      <c r="AA72" s="169"/>
      <c r="AF72" s="171"/>
    </row>
    <row r="73" spans="2:32" s="170" customFormat="1" ht="15.95" customHeight="1">
      <c r="B73" s="172"/>
      <c r="C73" s="670"/>
      <c r="D73" s="704"/>
      <c r="E73" s="740"/>
      <c r="F73" s="198" t="s">
        <v>40</v>
      </c>
      <c r="G73" s="197" t="str">
        <f>AG!G33</f>
        <v>SB</v>
      </c>
      <c r="H73" s="197" t="str">
        <f>PPKN!G33</f>
        <v>SB</v>
      </c>
      <c r="I73" s="197" t="str">
        <f>B.ind!G33</f>
        <v>B</v>
      </c>
      <c r="J73" s="197" t="str">
        <f>'Mat W'!G33</f>
        <v>SB</v>
      </c>
      <c r="K73" s="197" t="str">
        <f>Sej!G33</f>
        <v>B</v>
      </c>
      <c r="L73" s="197" t="str">
        <f>B.Ing!G33</f>
        <v>B</v>
      </c>
      <c r="M73" s="197" t="str">
        <f>Seni!G33</f>
        <v>B</v>
      </c>
      <c r="N73" s="197" t="str">
        <f>Jas!G33</f>
        <v>B</v>
      </c>
      <c r="O73" s="197" t="str">
        <f>Pra!G33</f>
        <v>B</v>
      </c>
      <c r="P73" s="197" t="str">
        <f>'Mat P'!G33</f>
        <v>B</v>
      </c>
      <c r="Q73" s="197" t="str">
        <f>Bio!G33</f>
        <v>B</v>
      </c>
      <c r="R73" s="197" t="str">
        <f>Fis!G$15</f>
        <v>B</v>
      </c>
      <c r="S73" s="197" t="str">
        <f>Kim!G33</f>
        <v>SB</v>
      </c>
      <c r="T73" s="197" t="str">
        <f>'Eko (LM)'!$G$33</f>
        <v>SB</v>
      </c>
      <c r="U73" s="197">
        <f>'Lin2'!$G$33</f>
        <v>0</v>
      </c>
      <c r="V73" s="200"/>
      <c r="W73" s="701"/>
      <c r="X73" s="701"/>
      <c r="Y73" s="701"/>
      <c r="Z73" s="168"/>
      <c r="AA73" s="169"/>
      <c r="AF73" s="171"/>
    </row>
    <row r="74" spans="2:32" s="170" customFormat="1" ht="15.95" customHeight="1">
      <c r="B74" s="172"/>
      <c r="C74" s="670">
        <v>21</v>
      </c>
      <c r="D74" s="702" t="str">
        <f>DataSiswa!B28</f>
        <v>9980810523</v>
      </c>
      <c r="E74" s="742" t="str">
        <f>DataSiswa!C28</f>
        <v>Nurul Putri Salsabila</v>
      </c>
      <c r="F74" s="201" t="s">
        <v>241</v>
      </c>
      <c r="G74" s="201">
        <f>AG!E34</f>
        <v>85</v>
      </c>
      <c r="H74" s="201">
        <f>PPKN!E34</f>
        <v>92</v>
      </c>
      <c r="I74" s="201">
        <f>B.ind!E34</f>
        <v>84</v>
      </c>
      <c r="J74" s="201">
        <f>'Mat W'!E34</f>
        <v>89</v>
      </c>
      <c r="K74" s="201">
        <f>Sej!E34</f>
        <v>86</v>
      </c>
      <c r="L74" s="201">
        <f>B.Ing!E34</f>
        <v>83</v>
      </c>
      <c r="M74" s="201">
        <f>Seni!E34</f>
        <v>87</v>
      </c>
      <c r="N74" s="201">
        <f>Jas!E34</f>
        <v>88</v>
      </c>
      <c r="O74" s="201">
        <f>Pra!E34</f>
        <v>88</v>
      </c>
      <c r="P74" s="201">
        <f>'Mat P'!E34</f>
        <v>85</v>
      </c>
      <c r="Q74" s="201">
        <f>Bio!E34</f>
        <v>87</v>
      </c>
      <c r="R74" s="201">
        <f>Fis!E34</f>
        <v>86</v>
      </c>
      <c r="S74" s="201">
        <f>Kim!E34</f>
        <v>87</v>
      </c>
      <c r="T74" s="201">
        <f>'Eko (LM)'!$E$34</f>
        <v>91</v>
      </c>
      <c r="U74" s="201">
        <f>'Lin2'!$E$34</f>
        <v>0</v>
      </c>
      <c r="V74" s="202">
        <f>AVERAGE(G74:U74)</f>
        <v>81.2</v>
      </c>
      <c r="W74" s="699">
        <f>Absen!G29</f>
        <v>4</v>
      </c>
      <c r="X74" s="699">
        <f>Absen!H29</f>
        <v>1</v>
      </c>
      <c r="Y74" s="699">
        <f>Absen!I29</f>
        <v>1</v>
      </c>
      <c r="Z74" s="168"/>
      <c r="AA74" s="169">
        <f>AVERAGE(G74:T74)</f>
        <v>87</v>
      </c>
      <c r="AF74" s="171"/>
    </row>
    <row r="75" spans="2:32" s="170" customFormat="1" ht="15.95" customHeight="1">
      <c r="B75" s="172"/>
      <c r="C75" s="694"/>
      <c r="D75" s="703"/>
      <c r="E75" s="739"/>
      <c r="F75" s="197" t="s">
        <v>242</v>
      </c>
      <c r="G75" s="197">
        <f>AG!F34</f>
        <v>85</v>
      </c>
      <c r="H75" s="197">
        <f>PPKN!F34</f>
        <v>90</v>
      </c>
      <c r="I75" s="197">
        <f>B.ind!F34</f>
        <v>84</v>
      </c>
      <c r="J75" s="197">
        <f>'Mat W'!F34</f>
        <v>85</v>
      </c>
      <c r="K75" s="197">
        <f>Sej!F34</f>
        <v>83</v>
      </c>
      <c r="L75" s="197">
        <f>B.Ing!F34</f>
        <v>84</v>
      </c>
      <c r="M75" s="197">
        <f>Seni!F34</f>
        <v>87</v>
      </c>
      <c r="N75" s="197">
        <f>Jas!F34</f>
        <v>90</v>
      </c>
      <c r="O75" s="197">
        <f>Pra!F34</f>
        <v>90</v>
      </c>
      <c r="P75" s="197">
        <f>'Mat P'!F34</f>
        <v>86</v>
      </c>
      <c r="Q75" s="197">
        <f>Bio!F34</f>
        <v>83</v>
      </c>
      <c r="R75" s="197">
        <f>Fis!F34</f>
        <v>85</v>
      </c>
      <c r="S75" s="197">
        <f>Kim!F34</f>
        <v>87</v>
      </c>
      <c r="T75" s="197">
        <f>'Eko (LM)'!$F$34</f>
        <v>88</v>
      </c>
      <c r="U75" s="197">
        <f>'Lin2'!$F$34</f>
        <v>0</v>
      </c>
      <c r="V75" s="202">
        <f>AVERAGE(G75:U75)</f>
        <v>80.466666666666669</v>
      </c>
      <c r="W75" s="700"/>
      <c r="X75" s="700"/>
      <c r="Y75" s="700"/>
      <c r="Z75" s="168"/>
      <c r="AA75" s="169"/>
      <c r="AF75" s="171"/>
    </row>
    <row r="76" spans="2:32" s="170" customFormat="1" ht="15.95" customHeight="1">
      <c r="B76" s="172"/>
      <c r="C76" s="694"/>
      <c r="D76" s="704"/>
      <c r="E76" s="740"/>
      <c r="F76" s="198" t="s">
        <v>40</v>
      </c>
      <c r="G76" s="197" t="str">
        <f>AG!G34</f>
        <v>B</v>
      </c>
      <c r="H76" s="197" t="str">
        <f>PPKN!G34</f>
        <v>SB</v>
      </c>
      <c r="I76" s="197" t="str">
        <f>B.ind!G34</f>
        <v>B</v>
      </c>
      <c r="J76" s="197" t="str">
        <f>'Mat W'!G34</f>
        <v>B</v>
      </c>
      <c r="K76" s="197" t="str">
        <f>Sej!G34</f>
        <v>B</v>
      </c>
      <c r="L76" s="197" t="str">
        <f>B.Ing!G34</f>
        <v>B</v>
      </c>
      <c r="M76" s="197" t="str">
        <f>Seni!G34</f>
        <v>B</v>
      </c>
      <c r="N76" s="197" t="str">
        <f>Jas!G34</f>
        <v>B</v>
      </c>
      <c r="O76" s="197" t="str">
        <f>Pra!G34</f>
        <v>B</v>
      </c>
      <c r="P76" s="197" t="str">
        <f>'Mat P'!G34</f>
        <v>B</v>
      </c>
      <c r="Q76" s="197" t="str">
        <f>Bio!G34</f>
        <v>B</v>
      </c>
      <c r="R76" s="197" t="str">
        <f>Fis!G$15</f>
        <v>B</v>
      </c>
      <c r="S76" s="197" t="str">
        <f>Kim!G34</f>
        <v>SB</v>
      </c>
      <c r="T76" s="197" t="str">
        <f>'Eko (LM)'!$G$34</f>
        <v>SB</v>
      </c>
      <c r="U76" s="197">
        <f>'Lin2'!$G$34</f>
        <v>0</v>
      </c>
      <c r="V76" s="200"/>
      <c r="W76" s="701"/>
      <c r="X76" s="701"/>
      <c r="Y76" s="701"/>
      <c r="Z76" s="168"/>
      <c r="AA76" s="169"/>
      <c r="AF76" s="171"/>
    </row>
    <row r="77" spans="2:32" s="170" customFormat="1" ht="15.95" customHeight="1">
      <c r="B77" s="172"/>
      <c r="C77" s="670">
        <v>22</v>
      </c>
      <c r="D77" s="702" t="str">
        <f>DataSiswa!B29</f>
        <v>9998982066</v>
      </c>
      <c r="E77" s="742" t="str">
        <f>DataSiswa!C29</f>
        <v>Rafi Fikriya Riza</v>
      </c>
      <c r="F77" s="201" t="s">
        <v>241</v>
      </c>
      <c r="G77" s="201">
        <f>AG!E35</f>
        <v>90</v>
      </c>
      <c r="H77" s="201">
        <f>PPKN!E35</f>
        <v>90</v>
      </c>
      <c r="I77" s="201">
        <f>B.ind!E35</f>
        <v>83</v>
      </c>
      <c r="J77" s="201">
        <f>'Mat W'!E35</f>
        <v>91</v>
      </c>
      <c r="K77" s="201">
        <f>Sej!E35</f>
        <v>87</v>
      </c>
      <c r="L77" s="201">
        <f>B.Ing!E35</f>
        <v>86</v>
      </c>
      <c r="M77" s="201">
        <f>Seni!E35</f>
        <v>86</v>
      </c>
      <c r="N77" s="201">
        <f>Jas!E35</f>
        <v>88</v>
      </c>
      <c r="O77" s="201">
        <f>Pra!E35</f>
        <v>88</v>
      </c>
      <c r="P77" s="201">
        <f>'Mat P'!E35</f>
        <v>88</v>
      </c>
      <c r="Q77" s="201">
        <f>Bio!E35</f>
        <v>87</v>
      </c>
      <c r="R77" s="201">
        <f>Fis!E35</f>
        <v>84</v>
      </c>
      <c r="S77" s="201">
        <f>Kim!E35</f>
        <v>88</v>
      </c>
      <c r="T77" s="201">
        <f>'Eko (LM)'!$E$35</f>
        <v>85</v>
      </c>
      <c r="U77" s="201">
        <f>'Lin2'!$E$35</f>
        <v>0</v>
      </c>
      <c r="V77" s="202">
        <f>AVERAGE(G77:U77)</f>
        <v>81.400000000000006</v>
      </c>
      <c r="W77" s="699" t="str">
        <f>Absen!G30</f>
        <v>-</v>
      </c>
      <c r="X77" s="699">
        <f>Absen!H30</f>
        <v>1</v>
      </c>
      <c r="Y77" s="699" t="str">
        <f>Absen!I30</f>
        <v>-</v>
      </c>
      <c r="Z77" s="168"/>
      <c r="AA77" s="169">
        <f>AVERAGE(G77:T77)</f>
        <v>87.214285714285708</v>
      </c>
      <c r="AF77" s="171"/>
    </row>
    <row r="78" spans="2:32" s="170" customFormat="1" ht="15.95" customHeight="1">
      <c r="B78" s="172"/>
      <c r="C78" s="670"/>
      <c r="D78" s="703"/>
      <c r="E78" s="739"/>
      <c r="F78" s="197" t="s">
        <v>242</v>
      </c>
      <c r="G78" s="197">
        <f>AG!F35</f>
        <v>95</v>
      </c>
      <c r="H78" s="197">
        <f>PPKN!F35</f>
        <v>90</v>
      </c>
      <c r="I78" s="197">
        <f>B.ind!F35</f>
        <v>84</v>
      </c>
      <c r="J78" s="197">
        <f>'Mat W'!F35</f>
        <v>88</v>
      </c>
      <c r="K78" s="197">
        <f>Sej!F35</f>
        <v>85</v>
      </c>
      <c r="L78" s="197">
        <f>B.Ing!F35</f>
        <v>85</v>
      </c>
      <c r="M78" s="197">
        <f>Seni!F35</f>
        <v>84</v>
      </c>
      <c r="N78" s="197">
        <f>Jas!F35</f>
        <v>90</v>
      </c>
      <c r="O78" s="197">
        <f>Pra!F35</f>
        <v>90</v>
      </c>
      <c r="P78" s="197">
        <f>'Mat P'!F35</f>
        <v>86</v>
      </c>
      <c r="Q78" s="197">
        <f>Bio!F35</f>
        <v>85</v>
      </c>
      <c r="R78" s="197">
        <f>Fis!F35</f>
        <v>85</v>
      </c>
      <c r="S78" s="197">
        <f>Kim!F35</f>
        <v>90</v>
      </c>
      <c r="T78" s="197">
        <f>'Eko (LM)'!$F$35</f>
        <v>88</v>
      </c>
      <c r="U78" s="197">
        <f>'Lin2'!$F$35</f>
        <v>0</v>
      </c>
      <c r="V78" s="202">
        <f>AVERAGE(G78:U78)</f>
        <v>81.666666666666671</v>
      </c>
      <c r="W78" s="700"/>
      <c r="X78" s="700"/>
      <c r="Y78" s="700"/>
      <c r="Z78" s="168"/>
      <c r="AA78" s="169"/>
      <c r="AF78" s="171"/>
    </row>
    <row r="79" spans="2:32" s="170" customFormat="1" ht="15.95" customHeight="1">
      <c r="B79" s="172"/>
      <c r="C79" s="670"/>
      <c r="D79" s="704"/>
      <c r="E79" s="740"/>
      <c r="F79" s="198" t="s">
        <v>40</v>
      </c>
      <c r="G79" s="197" t="str">
        <f>AG!G35</f>
        <v>SB</v>
      </c>
      <c r="H79" s="197" t="str">
        <f>PPKN!G35</f>
        <v>SB</v>
      </c>
      <c r="I79" s="197" t="str">
        <f>B.ind!G35</f>
        <v>B</v>
      </c>
      <c r="J79" s="197" t="str">
        <f>'Mat W'!G35</f>
        <v>SB</v>
      </c>
      <c r="K79" s="197" t="str">
        <f>Sej!G35</f>
        <v>B</v>
      </c>
      <c r="L79" s="197" t="str">
        <f>B.Ing!G35</f>
        <v>B</v>
      </c>
      <c r="M79" s="197" t="str">
        <f>Seni!G35</f>
        <v>B</v>
      </c>
      <c r="N79" s="197" t="str">
        <f>Jas!G35</f>
        <v>B</v>
      </c>
      <c r="O79" s="197" t="str">
        <f>Pra!G35</f>
        <v>B</v>
      </c>
      <c r="P79" s="197" t="str">
        <f>'Mat P'!G35</f>
        <v>SB</v>
      </c>
      <c r="Q79" s="197" t="str">
        <f>Bio!G35</f>
        <v>B</v>
      </c>
      <c r="R79" s="197" t="str">
        <f>Fis!G$15</f>
        <v>B</v>
      </c>
      <c r="S79" s="197" t="str">
        <f>Kim!G35</f>
        <v>SB</v>
      </c>
      <c r="T79" s="197" t="str">
        <f>'Eko (LM)'!$G$35</f>
        <v>SB</v>
      </c>
      <c r="U79" s="197">
        <f>'Lin2'!$G$35</f>
        <v>0</v>
      </c>
      <c r="V79" s="200"/>
      <c r="W79" s="701"/>
      <c r="X79" s="701"/>
      <c r="Y79" s="701"/>
      <c r="Z79" s="168"/>
      <c r="AA79" s="169"/>
      <c r="AF79" s="171"/>
    </row>
    <row r="80" spans="2:32" s="170" customFormat="1" ht="15.95" customHeight="1">
      <c r="B80" s="172"/>
      <c r="C80" s="670">
        <v>23</v>
      </c>
      <c r="D80" s="702" t="str">
        <f>DataSiswa!B30</f>
        <v>9985967994</v>
      </c>
      <c r="E80" s="742" t="str">
        <f>DataSiswa!C30</f>
        <v>Restu Tria Bahri</v>
      </c>
      <c r="F80" s="201" t="s">
        <v>241</v>
      </c>
      <c r="G80" s="201">
        <f>AG!E36</f>
        <v>81</v>
      </c>
      <c r="H80" s="201">
        <f>PPKN!E36</f>
        <v>85</v>
      </c>
      <c r="I80" s="201">
        <f>B.ind!E36</f>
        <v>83</v>
      </c>
      <c r="J80" s="201">
        <f>'Mat W'!E36</f>
        <v>84</v>
      </c>
      <c r="K80" s="201">
        <f>Sej!E36</f>
        <v>85</v>
      </c>
      <c r="L80" s="201">
        <f>B.Ing!E36</f>
        <v>85</v>
      </c>
      <c r="M80" s="201">
        <f>Seni!E36</f>
        <v>85</v>
      </c>
      <c r="N80" s="201">
        <f>Jas!E36</f>
        <v>84</v>
      </c>
      <c r="O80" s="201">
        <f>Pra!E36</f>
        <v>87</v>
      </c>
      <c r="P80" s="201">
        <f>'Mat P'!E36</f>
        <v>81</v>
      </c>
      <c r="Q80" s="201">
        <f>Bio!E36</f>
        <v>84</v>
      </c>
      <c r="R80" s="201">
        <f>Fis!E36</f>
        <v>85</v>
      </c>
      <c r="S80" s="201">
        <f>Kim!E36</f>
        <v>86</v>
      </c>
      <c r="T80" s="201">
        <f>'Eko (LM)'!$E$36</f>
        <v>83</v>
      </c>
      <c r="U80" s="201">
        <f>'Lin2'!$E$36</f>
        <v>0</v>
      </c>
      <c r="V80" s="202">
        <f>AVERAGE(G80:U80)</f>
        <v>78.533333333333331</v>
      </c>
      <c r="W80" s="699">
        <f>Absen!G31</f>
        <v>1</v>
      </c>
      <c r="X80" s="699">
        <f>Absen!H31</f>
        <v>1</v>
      </c>
      <c r="Y80" s="699">
        <f>Absen!I31</f>
        <v>2</v>
      </c>
      <c r="Z80" s="168"/>
      <c r="AA80" s="169">
        <f>AVERAGE(G80:T80)</f>
        <v>84.142857142857139</v>
      </c>
      <c r="AF80" s="171"/>
    </row>
    <row r="81" spans="2:32" s="170" customFormat="1" ht="15.95" customHeight="1">
      <c r="B81" s="172"/>
      <c r="C81" s="694"/>
      <c r="D81" s="703"/>
      <c r="E81" s="739"/>
      <c r="F81" s="197" t="s">
        <v>242</v>
      </c>
      <c r="G81" s="197">
        <f>AG!F36</f>
        <v>90</v>
      </c>
      <c r="H81" s="197">
        <f>PPKN!F36</f>
        <v>88</v>
      </c>
      <c r="I81" s="197">
        <f>B.ind!F36</f>
        <v>83</v>
      </c>
      <c r="J81" s="197">
        <f>'Mat W'!F36</f>
        <v>85</v>
      </c>
      <c r="K81" s="197">
        <f>Sej!F36</f>
        <v>82</v>
      </c>
      <c r="L81" s="197">
        <f>B.Ing!F36</f>
        <v>84</v>
      </c>
      <c r="M81" s="197">
        <f>Seni!F36</f>
        <v>85</v>
      </c>
      <c r="N81" s="197">
        <f>Jas!F36</f>
        <v>85</v>
      </c>
      <c r="O81" s="197">
        <f>Pra!F36</f>
        <v>92</v>
      </c>
      <c r="P81" s="197">
        <f>'Mat P'!F36</f>
        <v>79</v>
      </c>
      <c r="Q81" s="197">
        <f>Bio!F36</f>
        <v>83</v>
      </c>
      <c r="R81" s="197">
        <f>Fis!F36</f>
        <v>85</v>
      </c>
      <c r="S81" s="197">
        <f>Kim!F36</f>
        <v>88</v>
      </c>
      <c r="T81" s="197">
        <f>'Eko (LM)'!$F$36</f>
        <v>88</v>
      </c>
      <c r="U81" s="197">
        <f>'Lin2'!$F$36</f>
        <v>0</v>
      </c>
      <c r="V81" s="202">
        <f>AVERAGE(G81:U81)</f>
        <v>79.8</v>
      </c>
      <c r="W81" s="700"/>
      <c r="X81" s="700"/>
      <c r="Y81" s="700"/>
      <c r="Z81" s="168"/>
      <c r="AA81" s="169"/>
      <c r="AF81" s="171"/>
    </row>
    <row r="82" spans="2:32" s="170" customFormat="1" ht="15.95" customHeight="1">
      <c r="B82" s="172"/>
      <c r="C82" s="694"/>
      <c r="D82" s="704"/>
      <c r="E82" s="740"/>
      <c r="F82" s="198" t="s">
        <v>40</v>
      </c>
      <c r="G82" s="197" t="str">
        <f>AG!G36</f>
        <v>B</v>
      </c>
      <c r="H82" s="197" t="str">
        <f>PPKN!G36</f>
        <v>SB</v>
      </c>
      <c r="I82" s="197" t="str">
        <f>B.ind!G36</f>
        <v>B</v>
      </c>
      <c r="J82" s="197" t="str">
        <f>'Mat W'!G36</f>
        <v>B</v>
      </c>
      <c r="K82" s="197" t="str">
        <f>Sej!G36</f>
        <v>B</v>
      </c>
      <c r="L82" s="197" t="str">
        <f>B.Ing!G36</f>
        <v>B</v>
      </c>
      <c r="M82" s="197" t="str">
        <f>Seni!G36</f>
        <v>B</v>
      </c>
      <c r="N82" s="197" t="str">
        <f>Jas!G36</f>
        <v>B</v>
      </c>
      <c r="O82" s="197" t="str">
        <f>Pra!G36</f>
        <v>SB</v>
      </c>
      <c r="P82" s="197" t="str">
        <f>'Mat P'!G36</f>
        <v>B</v>
      </c>
      <c r="Q82" s="197" t="str">
        <f>Bio!G36</f>
        <v>B</v>
      </c>
      <c r="R82" s="197" t="str">
        <f>Fis!G$15</f>
        <v>B</v>
      </c>
      <c r="S82" s="197" t="str">
        <f>Kim!G36</f>
        <v>SB</v>
      </c>
      <c r="T82" s="197" t="str">
        <f>'Eko (LM)'!$G$36</f>
        <v>SB</v>
      </c>
      <c r="U82" s="197">
        <f>'Lin2'!$G$36</f>
        <v>0</v>
      </c>
      <c r="V82" s="200"/>
      <c r="W82" s="701"/>
      <c r="X82" s="701"/>
      <c r="Y82" s="701"/>
      <c r="Z82" s="168"/>
      <c r="AA82" s="169"/>
      <c r="AF82" s="171"/>
    </row>
    <row r="83" spans="2:32" s="170" customFormat="1" ht="15.95" customHeight="1">
      <c r="B83" s="172"/>
      <c r="C83" s="670">
        <v>24</v>
      </c>
      <c r="D83" s="702" t="str">
        <f>DataSiswa!B31</f>
        <v>9980799351</v>
      </c>
      <c r="E83" s="742" t="str">
        <f>DataSiswa!C31</f>
        <v>Rifka Esofita</v>
      </c>
      <c r="F83" s="201" t="s">
        <v>241</v>
      </c>
      <c r="G83" s="201">
        <f>AG!E37</f>
        <v>90</v>
      </c>
      <c r="H83" s="201">
        <f>PPKN!E37</f>
        <v>86</v>
      </c>
      <c r="I83" s="201">
        <f>B.ind!E37</f>
        <v>83</v>
      </c>
      <c r="J83" s="201">
        <f>'Mat W'!E37</f>
        <v>86</v>
      </c>
      <c r="K83" s="201">
        <f>Sej!E37</f>
        <v>85</v>
      </c>
      <c r="L83" s="201">
        <f>B.Ing!E37</f>
        <v>83</v>
      </c>
      <c r="M83" s="201">
        <f>Seni!E37</f>
        <v>84</v>
      </c>
      <c r="N83" s="201">
        <f>Jas!E37</f>
        <v>88</v>
      </c>
      <c r="O83" s="201">
        <f>Pra!E37</f>
        <v>86</v>
      </c>
      <c r="P83" s="201">
        <f>'Mat P'!E37</f>
        <v>82</v>
      </c>
      <c r="Q83" s="201">
        <f>Bio!E37</f>
        <v>84</v>
      </c>
      <c r="R83" s="201">
        <f>Fis!E37</f>
        <v>86</v>
      </c>
      <c r="S83" s="201">
        <f>Kim!E37</f>
        <v>86</v>
      </c>
      <c r="T83" s="201">
        <f>'Eko (LM)'!$E$37</f>
        <v>84</v>
      </c>
      <c r="U83" s="201">
        <f>'Lin2'!$E$37</f>
        <v>0</v>
      </c>
      <c r="V83" s="202">
        <f>AVERAGE(G83:U83)</f>
        <v>79.533333333333331</v>
      </c>
      <c r="W83" s="699" t="str">
        <f>Absen!G32</f>
        <v>-</v>
      </c>
      <c r="X83" s="699">
        <f>Absen!H32</f>
        <v>4</v>
      </c>
      <c r="Y83" s="699">
        <f>Absen!I32</f>
        <v>1</v>
      </c>
      <c r="Z83" s="168"/>
      <c r="AA83" s="169">
        <f>AVERAGE(G83:T83)</f>
        <v>85.214285714285708</v>
      </c>
      <c r="AF83" s="171"/>
    </row>
    <row r="84" spans="2:32" s="170" customFormat="1" ht="15.95" customHeight="1">
      <c r="B84" s="172"/>
      <c r="C84" s="670"/>
      <c r="D84" s="703" t="e">
        <f>#REF!</f>
        <v>#REF!</v>
      </c>
      <c r="E84" s="739" t="e">
        <f>#REF!</f>
        <v>#REF!</v>
      </c>
      <c r="F84" s="197" t="s">
        <v>242</v>
      </c>
      <c r="G84" s="197">
        <f>AG!F37</f>
        <v>95</v>
      </c>
      <c r="H84" s="197">
        <f>PPKN!F37</f>
        <v>88</v>
      </c>
      <c r="I84" s="197">
        <f>B.ind!F37</f>
        <v>84</v>
      </c>
      <c r="J84" s="197">
        <f>'Mat W'!F37</f>
        <v>85</v>
      </c>
      <c r="K84" s="197">
        <f>Sej!F37</f>
        <v>84</v>
      </c>
      <c r="L84" s="197">
        <f>B.Ing!F37</f>
        <v>86</v>
      </c>
      <c r="M84" s="197">
        <f>Seni!F37</f>
        <v>97</v>
      </c>
      <c r="N84" s="197">
        <f>Jas!F37</f>
        <v>89</v>
      </c>
      <c r="O84" s="197">
        <f>Pra!F37</f>
        <v>92</v>
      </c>
      <c r="P84" s="197">
        <f>'Mat P'!F37</f>
        <v>79</v>
      </c>
      <c r="Q84" s="197">
        <f>Bio!F37</f>
        <v>83</v>
      </c>
      <c r="R84" s="197">
        <f>Fis!F37</f>
        <v>85</v>
      </c>
      <c r="S84" s="197">
        <f>Kim!F37</f>
        <v>86</v>
      </c>
      <c r="T84" s="197">
        <f>'Eko (LM)'!$F$37</f>
        <v>88</v>
      </c>
      <c r="U84" s="197">
        <f>'Lin2'!$F$37</f>
        <v>0</v>
      </c>
      <c r="V84" s="202">
        <f>AVERAGE(G84:U84)</f>
        <v>81.400000000000006</v>
      </c>
      <c r="W84" s="700"/>
      <c r="X84" s="700"/>
      <c r="Y84" s="700"/>
      <c r="Z84" s="168"/>
      <c r="AA84" s="169"/>
      <c r="AF84" s="171"/>
    </row>
    <row r="85" spans="2:32" s="170" customFormat="1" ht="15.95" customHeight="1">
      <c r="B85" s="172"/>
      <c r="C85" s="670"/>
      <c r="D85" s="704" t="e">
        <f>#REF!</f>
        <v>#REF!</v>
      </c>
      <c r="E85" s="740" t="e">
        <f>#REF!</f>
        <v>#REF!</v>
      </c>
      <c r="F85" s="198" t="s">
        <v>40</v>
      </c>
      <c r="G85" s="197" t="str">
        <f>AG!G37</f>
        <v>SB</v>
      </c>
      <c r="H85" s="197" t="str">
        <f>PPKN!G37</f>
        <v>SB</v>
      </c>
      <c r="I85" s="197" t="str">
        <f>B.ind!G37</f>
        <v>B</v>
      </c>
      <c r="J85" s="197" t="str">
        <f>'Mat W'!G37</f>
        <v>B</v>
      </c>
      <c r="K85" s="197" t="str">
        <f>Sej!G37</f>
        <v>B</v>
      </c>
      <c r="L85" s="197" t="str">
        <f>B.Ing!G37</f>
        <v>B</v>
      </c>
      <c r="M85" s="197" t="str">
        <f>Seni!G37</f>
        <v>B</v>
      </c>
      <c r="N85" s="197" t="str">
        <f>Jas!G37</f>
        <v>B</v>
      </c>
      <c r="O85" s="197" t="str">
        <f>Pra!G37</f>
        <v>SB</v>
      </c>
      <c r="P85" s="197" t="str">
        <f>'Mat P'!G37</f>
        <v>B</v>
      </c>
      <c r="Q85" s="197" t="str">
        <f>Bio!G37</f>
        <v>B</v>
      </c>
      <c r="R85" s="197" t="str">
        <f>Fis!G$15</f>
        <v>B</v>
      </c>
      <c r="S85" s="197" t="str">
        <f>Kim!G37</f>
        <v>B</v>
      </c>
      <c r="T85" s="197" t="str">
        <f>'Eko (LM)'!$G$37</f>
        <v>SB</v>
      </c>
      <c r="U85" s="197">
        <f>'Lin2'!$G$37</f>
        <v>0</v>
      </c>
      <c r="V85" s="200"/>
      <c r="W85" s="701"/>
      <c r="X85" s="701"/>
      <c r="Y85" s="701"/>
      <c r="Z85" s="168"/>
      <c r="AA85" s="169"/>
      <c r="AF85" s="171"/>
    </row>
    <row r="86" spans="2:32" s="170" customFormat="1" ht="15.95" customHeight="1">
      <c r="B86" s="172"/>
      <c r="C86" s="670">
        <v>25</v>
      </c>
      <c r="D86" s="702" t="str">
        <f>DataSiswa!B32</f>
        <v>9982095495</v>
      </c>
      <c r="E86" s="742" t="str">
        <f>DataSiswa!C32</f>
        <v>Rifo Ranofan</v>
      </c>
      <c r="F86" s="201" t="s">
        <v>241</v>
      </c>
      <c r="G86" s="201">
        <f>AG!E38</f>
        <v>83</v>
      </c>
      <c r="H86" s="201">
        <f>PPKN!E38</f>
        <v>87</v>
      </c>
      <c r="I86" s="201">
        <f>B.ind!E38</f>
        <v>83</v>
      </c>
      <c r="J86" s="201">
        <f>'Mat W'!E38</f>
        <v>90</v>
      </c>
      <c r="K86" s="201">
        <f>Sej!E38</f>
        <v>89</v>
      </c>
      <c r="L86" s="201">
        <f>B.Ing!E38</f>
        <v>83</v>
      </c>
      <c r="M86" s="201">
        <f>Seni!E38</f>
        <v>84</v>
      </c>
      <c r="N86" s="201">
        <f>Jas!E38</f>
        <v>88</v>
      </c>
      <c r="O86" s="201">
        <f>Pra!E38</f>
        <v>88</v>
      </c>
      <c r="P86" s="201">
        <f>'Mat P'!E38</f>
        <v>81</v>
      </c>
      <c r="Q86" s="201">
        <f>Bio!E38</f>
        <v>88</v>
      </c>
      <c r="R86" s="201">
        <f>Fis!E38</f>
        <v>86</v>
      </c>
      <c r="S86" s="201">
        <f>Kim!E38</f>
        <v>88</v>
      </c>
      <c r="T86" s="201">
        <f>'Eko (LM)'!$E$38</f>
        <v>88</v>
      </c>
      <c r="U86" s="201">
        <f>'Lin2'!$E$38</f>
        <v>0</v>
      </c>
      <c r="V86" s="202">
        <f>AVERAGE(G86:U86)</f>
        <v>80.400000000000006</v>
      </c>
      <c r="W86" s="699" t="str">
        <f>Absen!G33</f>
        <v>-</v>
      </c>
      <c r="X86" s="699">
        <f>Absen!H33</f>
        <v>3</v>
      </c>
      <c r="Y86" s="699" t="str">
        <f>Absen!I33</f>
        <v>-</v>
      </c>
      <c r="Z86" s="168"/>
      <c r="AA86" s="169">
        <f>AVERAGE(G86:T86)</f>
        <v>86.142857142857139</v>
      </c>
      <c r="AF86" s="171"/>
    </row>
    <row r="87" spans="2:32" s="170" customFormat="1" ht="15.95" customHeight="1">
      <c r="B87" s="172"/>
      <c r="C87" s="694"/>
      <c r="D87" s="703" t="e">
        <f>#REF!</f>
        <v>#REF!</v>
      </c>
      <c r="E87" s="739" t="e">
        <f>#REF!</f>
        <v>#REF!</v>
      </c>
      <c r="F87" s="197" t="s">
        <v>242</v>
      </c>
      <c r="G87" s="197">
        <f>AG!F38</f>
        <v>85</v>
      </c>
      <c r="H87" s="197">
        <f>PPKN!F38</f>
        <v>90</v>
      </c>
      <c r="I87" s="197">
        <f>B.ind!F38</f>
        <v>84</v>
      </c>
      <c r="J87" s="197">
        <f>'Mat W'!F38</f>
        <v>87</v>
      </c>
      <c r="K87" s="197">
        <f>Sej!F38</f>
        <v>90</v>
      </c>
      <c r="L87" s="197">
        <f>B.Ing!F38</f>
        <v>90</v>
      </c>
      <c r="M87" s="197">
        <f>Seni!F38</f>
        <v>84</v>
      </c>
      <c r="N87" s="197">
        <f>Jas!F38</f>
        <v>89</v>
      </c>
      <c r="O87" s="197">
        <f>Pra!F38</f>
        <v>90</v>
      </c>
      <c r="P87" s="197">
        <f>'Mat P'!F38</f>
        <v>79</v>
      </c>
      <c r="Q87" s="197">
        <f>Bio!F38</f>
        <v>90</v>
      </c>
      <c r="R87" s="197">
        <f>Fis!F38</f>
        <v>85</v>
      </c>
      <c r="S87" s="197">
        <f>Kim!F38</f>
        <v>90</v>
      </c>
      <c r="T87" s="197">
        <f>'Eko (LM)'!$F$38</f>
        <v>85</v>
      </c>
      <c r="U87" s="197">
        <f>'Lin2'!$F$38</f>
        <v>0</v>
      </c>
      <c r="V87" s="202">
        <f>AVERAGE(G87:U87)</f>
        <v>81.2</v>
      </c>
      <c r="W87" s="700"/>
      <c r="X87" s="700"/>
      <c r="Y87" s="700"/>
      <c r="Z87" s="168"/>
      <c r="AA87" s="169"/>
      <c r="AF87" s="171"/>
    </row>
    <row r="88" spans="2:32" s="170" customFormat="1" ht="15.95" customHeight="1">
      <c r="B88" s="172"/>
      <c r="C88" s="694"/>
      <c r="D88" s="704" t="e">
        <f>#REF!</f>
        <v>#REF!</v>
      </c>
      <c r="E88" s="740" t="e">
        <f>#REF!</f>
        <v>#REF!</v>
      </c>
      <c r="F88" s="198" t="s">
        <v>40</v>
      </c>
      <c r="G88" s="197" t="str">
        <f>AG!G38</f>
        <v>SB</v>
      </c>
      <c r="H88" s="197" t="str">
        <f>PPKN!G38</f>
        <v>SB</v>
      </c>
      <c r="I88" s="197" t="str">
        <f>B.ind!G38</f>
        <v>B</v>
      </c>
      <c r="J88" s="197" t="str">
        <f>'Mat W'!G38</f>
        <v>SB</v>
      </c>
      <c r="K88" s="197" t="str">
        <f>Sej!G38</f>
        <v>SB</v>
      </c>
      <c r="L88" s="197" t="str">
        <f>B.Ing!G38</f>
        <v>B</v>
      </c>
      <c r="M88" s="197" t="str">
        <f>Seni!G38</f>
        <v>B</v>
      </c>
      <c r="N88" s="197" t="str">
        <f>Jas!G38</f>
        <v>B</v>
      </c>
      <c r="O88" s="197" t="str">
        <f>Pra!G38</f>
        <v>B</v>
      </c>
      <c r="P88" s="197" t="str">
        <f>'Mat P'!G38</f>
        <v>B</v>
      </c>
      <c r="Q88" s="197" t="str">
        <f>Bio!G38</f>
        <v>B</v>
      </c>
      <c r="R88" s="197" t="str">
        <f>Fis!G$15</f>
        <v>B</v>
      </c>
      <c r="S88" s="197" t="str">
        <f>Kim!G38</f>
        <v>SB</v>
      </c>
      <c r="T88" s="197" t="str">
        <f>'Eko (LM)'!$G$38</f>
        <v>SB</v>
      </c>
      <c r="U88" s="197">
        <f>'Lin2'!$G$38</f>
        <v>0</v>
      </c>
      <c r="V88" s="200"/>
      <c r="W88" s="701"/>
      <c r="X88" s="701"/>
      <c r="Y88" s="701"/>
      <c r="Z88" s="168"/>
      <c r="AA88" s="169"/>
      <c r="AF88" s="171"/>
    </row>
    <row r="89" spans="2:32" s="170" customFormat="1" ht="15.95" customHeight="1">
      <c r="B89" s="172"/>
      <c r="C89" s="670">
        <v>26</v>
      </c>
      <c r="D89" s="702" t="str">
        <f>DataSiswa!B33</f>
        <v>9985858026</v>
      </c>
      <c r="E89" s="742" t="str">
        <f>DataSiswa!C33</f>
        <v>Stephany Widyanti</v>
      </c>
      <c r="F89" s="201" t="s">
        <v>241</v>
      </c>
      <c r="G89" s="201">
        <f>AG!E39</f>
        <v>88</v>
      </c>
      <c r="H89" s="201">
        <f>PPKN!E39</f>
        <v>86</v>
      </c>
      <c r="I89" s="201">
        <f>B.ind!E39</f>
        <v>83</v>
      </c>
      <c r="J89" s="201">
        <f>'Mat W'!E39</f>
        <v>87</v>
      </c>
      <c r="K89" s="201">
        <f>Sej!E39</f>
        <v>88</v>
      </c>
      <c r="L89" s="201">
        <f>B.Ing!E39</f>
        <v>83</v>
      </c>
      <c r="M89" s="201">
        <f>Seni!E39</f>
        <v>86</v>
      </c>
      <c r="N89" s="201">
        <f>Jas!E39</f>
        <v>89</v>
      </c>
      <c r="O89" s="201">
        <f>Pra!E39</f>
        <v>89</v>
      </c>
      <c r="P89" s="201">
        <f>'Mat P'!E39</f>
        <v>86</v>
      </c>
      <c r="Q89" s="201">
        <f>Bio!E39</f>
        <v>85</v>
      </c>
      <c r="R89" s="201">
        <f>Fis!E39</f>
        <v>87</v>
      </c>
      <c r="S89" s="201">
        <f>Kim!E39</f>
        <v>85</v>
      </c>
      <c r="T89" s="201">
        <f>'Eko (LM)'!$E$39</f>
        <v>90</v>
      </c>
      <c r="U89" s="201">
        <f>'Lin2'!$E$39</f>
        <v>0</v>
      </c>
      <c r="V89" s="202">
        <f>AVERAGE(G89:U89)</f>
        <v>80.8</v>
      </c>
      <c r="W89" s="699">
        <f>Absen!G34</f>
        <v>2</v>
      </c>
      <c r="X89" s="699" t="str">
        <f>Absen!H34</f>
        <v>-</v>
      </c>
      <c r="Y89" s="699" t="str">
        <f>Absen!I34</f>
        <v>-</v>
      </c>
      <c r="Z89" s="168"/>
      <c r="AA89" s="169">
        <f>AVERAGE(G89:T89)</f>
        <v>86.571428571428569</v>
      </c>
      <c r="AF89" s="171"/>
    </row>
    <row r="90" spans="2:32" s="170" customFormat="1" ht="15.95" customHeight="1">
      <c r="B90" s="172"/>
      <c r="C90" s="670"/>
      <c r="D90" s="703" t="e">
        <f>#REF!</f>
        <v>#REF!</v>
      </c>
      <c r="E90" s="739" t="e">
        <f>#REF!</f>
        <v>#REF!</v>
      </c>
      <c r="F90" s="197" t="s">
        <v>242</v>
      </c>
      <c r="G90" s="197">
        <f>AG!F39</f>
        <v>95</v>
      </c>
      <c r="H90" s="197">
        <f>PPKN!F39</f>
        <v>90</v>
      </c>
      <c r="I90" s="197">
        <f>B.ind!F39</f>
        <v>84</v>
      </c>
      <c r="J90" s="197">
        <f>'Mat W'!F39</f>
        <v>85</v>
      </c>
      <c r="K90" s="197">
        <f>Sej!F39</f>
        <v>84</v>
      </c>
      <c r="L90" s="197">
        <f>B.Ing!F39</f>
        <v>90</v>
      </c>
      <c r="M90" s="197">
        <f>Seni!F39</f>
        <v>84</v>
      </c>
      <c r="N90" s="197">
        <f>Jas!F39</f>
        <v>90</v>
      </c>
      <c r="O90" s="197">
        <f>Pra!F39</f>
        <v>90</v>
      </c>
      <c r="P90" s="197">
        <f>'Mat P'!F39</f>
        <v>84</v>
      </c>
      <c r="Q90" s="197">
        <f>Bio!F39</f>
        <v>83</v>
      </c>
      <c r="R90" s="197">
        <f>Fis!F39</f>
        <v>85</v>
      </c>
      <c r="S90" s="197">
        <f>Kim!F39</f>
        <v>86</v>
      </c>
      <c r="T90" s="197">
        <f>'Eko (LM)'!$F$39</f>
        <v>88</v>
      </c>
      <c r="U90" s="197">
        <f>'Lin2'!$F$39</f>
        <v>0</v>
      </c>
      <c r="V90" s="202">
        <f>AVERAGE(G90:U90)</f>
        <v>81.2</v>
      </c>
      <c r="W90" s="700"/>
      <c r="X90" s="700"/>
      <c r="Y90" s="700"/>
      <c r="Z90" s="168"/>
      <c r="AA90" s="169"/>
      <c r="AF90" s="171"/>
    </row>
    <row r="91" spans="2:32" s="170" customFormat="1" ht="15.95" customHeight="1">
      <c r="B91" s="172"/>
      <c r="C91" s="670"/>
      <c r="D91" s="704" t="e">
        <f>#REF!</f>
        <v>#REF!</v>
      </c>
      <c r="E91" s="740" t="e">
        <f>#REF!</f>
        <v>#REF!</v>
      </c>
      <c r="F91" s="198" t="s">
        <v>40</v>
      </c>
      <c r="G91" s="197" t="str">
        <f>AG!G39</f>
        <v>SB</v>
      </c>
      <c r="H91" s="197" t="str">
        <f>PPKN!G39</f>
        <v>SB</v>
      </c>
      <c r="I91" s="197" t="str">
        <f>B.ind!G39</f>
        <v>B</v>
      </c>
      <c r="J91" s="197" t="str">
        <f>'Mat W'!G39</f>
        <v>B</v>
      </c>
      <c r="K91" s="197" t="str">
        <f>Sej!G39</f>
        <v>B</v>
      </c>
      <c r="L91" s="197" t="str">
        <f>B.Ing!G39</f>
        <v>B</v>
      </c>
      <c r="M91" s="197" t="str">
        <f>Seni!G39</f>
        <v>B</v>
      </c>
      <c r="N91" s="197" t="str">
        <f>Jas!G39</f>
        <v>B</v>
      </c>
      <c r="O91" s="197" t="str">
        <f>Pra!G39</f>
        <v>SB</v>
      </c>
      <c r="P91" s="197" t="str">
        <f>'Mat P'!G39</f>
        <v>B</v>
      </c>
      <c r="Q91" s="197" t="str">
        <f>Bio!G39</f>
        <v>B</v>
      </c>
      <c r="R91" s="197" t="str">
        <f>Fis!G$15</f>
        <v>B</v>
      </c>
      <c r="S91" s="197" t="str">
        <f>Kim!G39</f>
        <v>B</v>
      </c>
      <c r="T91" s="197" t="str">
        <f>'Eko (LM)'!$G$39</f>
        <v>SB</v>
      </c>
      <c r="U91" s="197">
        <f>'Lin2'!$G$39</f>
        <v>0</v>
      </c>
      <c r="V91" s="200"/>
      <c r="W91" s="701"/>
      <c r="X91" s="701"/>
      <c r="Y91" s="701"/>
      <c r="Z91" s="168"/>
      <c r="AA91" s="169"/>
      <c r="AF91" s="171"/>
    </row>
    <row r="92" spans="2:32" s="170" customFormat="1" ht="15.95" customHeight="1">
      <c r="B92" s="172"/>
      <c r="C92" s="705">
        <v>27</v>
      </c>
      <c r="D92" s="702" t="str">
        <f>DataSiswa!B34</f>
        <v>9980818512</v>
      </c>
      <c r="E92" s="742" t="str">
        <f>DataSiswa!C34</f>
        <v>Tiara Yulianti</v>
      </c>
      <c r="F92" s="201" t="s">
        <v>241</v>
      </c>
      <c r="G92" s="201">
        <f>AG!E40</f>
        <v>89</v>
      </c>
      <c r="H92" s="201">
        <f>PPKN!E40</f>
        <v>89</v>
      </c>
      <c r="I92" s="201">
        <f>B.ind!E40</f>
        <v>86</v>
      </c>
      <c r="J92" s="201">
        <f>'Mat W'!E40</f>
        <v>86</v>
      </c>
      <c r="K92" s="201">
        <f>Sej!E40</f>
        <v>87</v>
      </c>
      <c r="L92" s="201">
        <f>B.Ing!E40</f>
        <v>87</v>
      </c>
      <c r="M92" s="201">
        <f>Seni!E40</f>
        <v>87</v>
      </c>
      <c r="N92" s="201">
        <f>Jas!E40</f>
        <v>88</v>
      </c>
      <c r="O92" s="201">
        <f>Pra!E40</f>
        <v>90</v>
      </c>
      <c r="P92" s="201">
        <f>'Mat P'!E40</f>
        <v>87</v>
      </c>
      <c r="Q92" s="201">
        <f>Bio!E40</f>
        <v>87</v>
      </c>
      <c r="R92" s="201">
        <f>Fis!E40</f>
        <v>85</v>
      </c>
      <c r="S92" s="201">
        <f>Kim!E40</f>
        <v>87</v>
      </c>
      <c r="T92" s="201">
        <f>'Eko (LM)'!$E$40</f>
        <v>90</v>
      </c>
      <c r="U92" s="201">
        <f>'Lin2'!$E$40</f>
        <v>0</v>
      </c>
      <c r="V92" s="204">
        <f>AVERAGE(G92:U92)</f>
        <v>81.666666666666671</v>
      </c>
      <c r="W92" s="699" t="str">
        <f>Absen!G35</f>
        <v>-</v>
      </c>
      <c r="X92" s="699">
        <f>Absen!H35</f>
        <v>1</v>
      </c>
      <c r="Y92" s="699">
        <f>Absen!I35</f>
        <v>0</v>
      </c>
      <c r="Z92" s="168"/>
      <c r="AA92" s="169"/>
      <c r="AF92" s="171"/>
    </row>
    <row r="93" spans="2:32" s="170" customFormat="1" ht="15.95" customHeight="1">
      <c r="B93" s="172"/>
      <c r="C93" s="706"/>
      <c r="D93" s="703"/>
      <c r="E93" s="739"/>
      <c r="F93" s="197" t="s">
        <v>242</v>
      </c>
      <c r="G93" s="197">
        <f>AG!F40</f>
        <v>95</v>
      </c>
      <c r="H93" s="197">
        <f>PPKN!F40</f>
        <v>90</v>
      </c>
      <c r="I93" s="197">
        <f>B.ind!F40</f>
        <v>84</v>
      </c>
      <c r="J93" s="197">
        <f>'Mat W'!F40</f>
        <v>85</v>
      </c>
      <c r="K93" s="197">
        <f>Sej!F40</f>
        <v>85</v>
      </c>
      <c r="L93" s="197">
        <f>B.Ing!F40</f>
        <v>85</v>
      </c>
      <c r="M93" s="197">
        <f>Seni!F40</f>
        <v>86</v>
      </c>
      <c r="N93" s="197">
        <f>Jas!F40</f>
        <v>88</v>
      </c>
      <c r="O93" s="197">
        <f>Pra!F40</f>
        <v>92</v>
      </c>
      <c r="P93" s="197">
        <f>'Mat P'!F40</f>
        <v>84</v>
      </c>
      <c r="Q93" s="197">
        <f>Bio!F40</f>
        <v>87</v>
      </c>
      <c r="R93" s="197">
        <f>Fis!F40</f>
        <v>85</v>
      </c>
      <c r="S93" s="197">
        <f>Kim!F40</f>
        <v>87</v>
      </c>
      <c r="T93" s="197">
        <f>'Eko (LM)'!$F$40</f>
        <v>88</v>
      </c>
      <c r="U93" s="197">
        <f>'Lin2'!$F$40</f>
        <v>0</v>
      </c>
      <c r="V93" s="202">
        <f>AVERAGE(G93:U93)</f>
        <v>81.400000000000006</v>
      </c>
      <c r="W93" s="700"/>
      <c r="X93" s="700"/>
      <c r="Y93" s="700"/>
      <c r="Z93" s="168"/>
      <c r="AA93" s="169"/>
      <c r="AF93" s="171"/>
    </row>
    <row r="94" spans="2:32" s="170" customFormat="1" ht="15.95" customHeight="1">
      <c r="B94" s="172"/>
      <c r="C94" s="707"/>
      <c r="D94" s="704"/>
      <c r="E94" s="740"/>
      <c r="F94" s="198" t="s">
        <v>40</v>
      </c>
      <c r="G94" s="198" t="str">
        <f>AG!G40</f>
        <v>SB</v>
      </c>
      <c r="H94" s="198" t="str">
        <f>PPKN!G40</f>
        <v>SB</v>
      </c>
      <c r="I94" s="198" t="str">
        <f>B.ind!G40</f>
        <v>B</v>
      </c>
      <c r="J94" s="198" t="str">
        <f>'Mat W'!G40</f>
        <v>B</v>
      </c>
      <c r="K94" s="198" t="str">
        <f>Sej!G40</f>
        <v>B</v>
      </c>
      <c r="L94" s="198" t="str">
        <f>B.Ing!G40</f>
        <v>B</v>
      </c>
      <c r="M94" s="198" t="str">
        <f>Seni!G40</f>
        <v>B</v>
      </c>
      <c r="N94" s="198" t="str">
        <f>Jas!G40</f>
        <v>B</v>
      </c>
      <c r="O94" s="198" t="str">
        <f>Pra!G40</f>
        <v>B</v>
      </c>
      <c r="P94" s="198" t="str">
        <f>'Mat P'!G40</f>
        <v>B</v>
      </c>
      <c r="Q94" s="198" t="str">
        <f>Bio!G40</f>
        <v>B</v>
      </c>
      <c r="R94" s="198" t="str">
        <f>Fis!G$15</f>
        <v>B</v>
      </c>
      <c r="S94" s="198" t="str">
        <f>Kim!G40</f>
        <v>SB</v>
      </c>
      <c r="T94" s="198" t="str">
        <f>'Eko (LM)'!$G$40</f>
        <v>SB</v>
      </c>
      <c r="U94" s="198">
        <f>'Lin2'!$G$40</f>
        <v>0</v>
      </c>
      <c r="V94" s="200"/>
      <c r="W94" s="701"/>
      <c r="X94" s="701"/>
      <c r="Y94" s="701"/>
      <c r="Z94" s="168"/>
      <c r="AA94" s="169"/>
      <c r="AF94" s="171"/>
    </row>
    <row r="95" spans="2:32" s="170" customFormat="1" ht="15.95" customHeight="1">
      <c r="B95" s="172"/>
      <c r="C95" s="705">
        <v>28</v>
      </c>
      <c r="D95" s="702" t="str">
        <f>DataSiswa!B35</f>
        <v>9982393794</v>
      </c>
      <c r="E95" s="742" t="str">
        <f>DataSiswa!C35</f>
        <v>Tika Wandira</v>
      </c>
      <c r="F95" s="201" t="s">
        <v>241</v>
      </c>
      <c r="G95" s="201">
        <f>AG!E41</f>
        <v>87</v>
      </c>
      <c r="H95" s="201">
        <f>PPKN!E41</f>
        <v>91</v>
      </c>
      <c r="I95" s="201">
        <f>B.ind!E41</f>
        <v>83</v>
      </c>
      <c r="J95" s="201">
        <f>'Mat W'!E41</f>
        <v>84</v>
      </c>
      <c r="K95" s="201">
        <f>Sej!E41</f>
        <v>87</v>
      </c>
      <c r="L95" s="201">
        <f>B.Ing!E41</f>
        <v>88</v>
      </c>
      <c r="M95" s="201">
        <f>Seni!E41</f>
        <v>86</v>
      </c>
      <c r="N95" s="201">
        <f>Jas!E41</f>
        <v>86</v>
      </c>
      <c r="O95" s="201">
        <f>Pra!E41</f>
        <v>87</v>
      </c>
      <c r="P95" s="201">
        <f>'Mat P'!E41</f>
        <v>82</v>
      </c>
      <c r="Q95" s="201">
        <f>Bio!E41</f>
        <v>84</v>
      </c>
      <c r="R95" s="201">
        <f>Fis!E41</f>
        <v>86</v>
      </c>
      <c r="S95" s="201">
        <f>Kim!E41</f>
        <v>84</v>
      </c>
      <c r="T95" s="201">
        <f>'Eko (LM)'!$E$41</f>
        <v>85</v>
      </c>
      <c r="U95" s="201">
        <f>'Lin2'!$E$41</f>
        <v>0</v>
      </c>
      <c r="V95" s="204">
        <f>AVERAGE(G95:U95)</f>
        <v>80</v>
      </c>
      <c r="W95" s="699" t="str">
        <f>Absen!G36</f>
        <v>-</v>
      </c>
      <c r="X95" s="699">
        <f>Absen!H36</f>
        <v>1</v>
      </c>
      <c r="Y95" s="699">
        <f>Absen!I36</f>
        <v>0</v>
      </c>
      <c r="Z95" s="168"/>
      <c r="AA95" s="169"/>
      <c r="AF95" s="171"/>
    </row>
    <row r="96" spans="2:32" s="170" customFormat="1" ht="15.95" customHeight="1">
      <c r="B96" s="172"/>
      <c r="C96" s="706"/>
      <c r="D96" s="703"/>
      <c r="E96" s="739"/>
      <c r="F96" s="197" t="s">
        <v>242</v>
      </c>
      <c r="G96" s="197">
        <f>AG!F41</f>
        <v>95</v>
      </c>
      <c r="H96" s="197">
        <f>PPKN!F41</f>
        <v>88</v>
      </c>
      <c r="I96" s="197">
        <f>B.ind!F41</f>
        <v>84</v>
      </c>
      <c r="J96" s="197">
        <f>'Mat W'!F41</f>
        <v>85</v>
      </c>
      <c r="K96" s="197">
        <f>Sej!F41</f>
        <v>84</v>
      </c>
      <c r="L96" s="197">
        <f>B.Ing!F41</f>
        <v>87</v>
      </c>
      <c r="M96" s="197">
        <f>Seni!F41</f>
        <v>88</v>
      </c>
      <c r="N96" s="197">
        <f>Jas!F41</f>
        <v>85</v>
      </c>
      <c r="O96" s="197">
        <f>Pra!F41</f>
        <v>90</v>
      </c>
      <c r="P96" s="197">
        <f>'Mat P'!F41</f>
        <v>82</v>
      </c>
      <c r="Q96" s="197">
        <f>Bio!F41</f>
        <v>85</v>
      </c>
      <c r="R96" s="197">
        <f>Fis!F41</f>
        <v>85</v>
      </c>
      <c r="S96" s="197">
        <f>Kim!F41</f>
        <v>86</v>
      </c>
      <c r="T96" s="197">
        <f>'Eko (LM)'!$F$41</f>
        <v>88</v>
      </c>
      <c r="U96" s="197">
        <f>'Lin2'!$F$41</f>
        <v>0</v>
      </c>
      <c r="V96" s="202">
        <f>AVERAGE(G96:U96)</f>
        <v>80.8</v>
      </c>
      <c r="W96" s="700"/>
      <c r="X96" s="700"/>
      <c r="Y96" s="700"/>
      <c r="Z96" s="168"/>
      <c r="AA96" s="169"/>
      <c r="AF96" s="171"/>
    </row>
    <row r="97" spans="2:32" s="170" customFormat="1" ht="15.95" customHeight="1">
      <c r="B97" s="172"/>
      <c r="C97" s="707"/>
      <c r="D97" s="704"/>
      <c r="E97" s="740"/>
      <c r="F97" s="198" t="s">
        <v>40</v>
      </c>
      <c r="G97" s="197" t="str">
        <f>AG!G41</f>
        <v>SB</v>
      </c>
      <c r="H97" s="197" t="str">
        <f>PPKN!G41</f>
        <v>SB</v>
      </c>
      <c r="I97" s="197" t="str">
        <f>B.ind!G41</f>
        <v>B</v>
      </c>
      <c r="J97" s="197" t="str">
        <f>'Mat W'!G41</f>
        <v>B</v>
      </c>
      <c r="K97" s="197" t="str">
        <f>Sej!G41</f>
        <v>B</v>
      </c>
      <c r="L97" s="197" t="str">
        <f>B.Ing!G41</f>
        <v>B</v>
      </c>
      <c r="M97" s="197" t="str">
        <f>Seni!G41</f>
        <v>B</v>
      </c>
      <c r="N97" s="197" t="str">
        <f>Jas!G41</f>
        <v>B</v>
      </c>
      <c r="O97" s="197" t="str">
        <f>Pra!G41</f>
        <v>B</v>
      </c>
      <c r="P97" s="197" t="str">
        <f>'Mat P'!G41</f>
        <v>B</v>
      </c>
      <c r="Q97" s="198" t="str">
        <f>Bio!G41</f>
        <v>B</v>
      </c>
      <c r="R97" s="198" t="str">
        <f>Fis!G$15</f>
        <v>B</v>
      </c>
      <c r="S97" s="198" t="str">
        <f>Kim!G41</f>
        <v>B</v>
      </c>
      <c r="T97" s="198" t="str">
        <f>'Eko (LM)'!$G$41</f>
        <v>SB</v>
      </c>
      <c r="U97" s="198">
        <f>'Lin2'!$G$41</f>
        <v>0</v>
      </c>
      <c r="V97" s="200"/>
      <c r="W97" s="701"/>
      <c r="X97" s="701"/>
      <c r="Y97" s="701"/>
      <c r="Z97" s="168"/>
      <c r="AA97" s="169"/>
      <c r="AF97" s="171"/>
    </row>
    <row r="98" spans="2:32" s="170" customFormat="1" ht="15.95" customHeight="1">
      <c r="B98" s="172"/>
      <c r="C98" s="705">
        <v>29</v>
      </c>
      <c r="D98" s="702" t="str">
        <f>DataSiswa!B36</f>
        <v>9980818720</v>
      </c>
      <c r="E98" s="742" t="str">
        <f>DataSiswa!C36</f>
        <v>Ulfa Febriyani</v>
      </c>
      <c r="F98" s="201" t="s">
        <v>241</v>
      </c>
      <c r="G98" s="201">
        <f>AG!E42</f>
        <v>89</v>
      </c>
      <c r="H98" s="201">
        <f>PPKN!E42</f>
        <v>88</v>
      </c>
      <c r="I98" s="201">
        <f>B.ind!E42</f>
        <v>83</v>
      </c>
      <c r="J98" s="201">
        <f>'Mat W'!E42</f>
        <v>84</v>
      </c>
      <c r="K98" s="201">
        <f>Sej!E42</f>
        <v>88</v>
      </c>
      <c r="L98" s="201">
        <f>B.Ing!E42</f>
        <v>85</v>
      </c>
      <c r="M98" s="201">
        <f>Seni!E42</f>
        <v>85</v>
      </c>
      <c r="N98" s="201">
        <f>Jas!E42</f>
        <v>87</v>
      </c>
      <c r="O98" s="201">
        <f>Pra!E42</f>
        <v>86</v>
      </c>
      <c r="P98" s="201">
        <f>'Mat P'!E42</f>
        <v>85</v>
      </c>
      <c r="Q98" s="201">
        <f>Bio!E42</f>
        <v>87</v>
      </c>
      <c r="R98" s="201">
        <f>Fis!E42</f>
        <v>85</v>
      </c>
      <c r="S98" s="201">
        <f>Kim!E42</f>
        <v>83</v>
      </c>
      <c r="T98" s="201">
        <f>'Eko (LM)'!$E$42</f>
        <v>90</v>
      </c>
      <c r="U98" s="201">
        <f>'Lin2'!$E$42</f>
        <v>0</v>
      </c>
      <c r="V98" s="202">
        <f>AVERAGE(G98:U98)</f>
        <v>80.333333333333329</v>
      </c>
      <c r="W98" s="699" t="str">
        <f>Absen!G37</f>
        <v>-</v>
      </c>
      <c r="X98" s="699">
        <f>Absen!H37</f>
        <v>3</v>
      </c>
      <c r="Y98" s="699" t="str">
        <f>Absen!I37</f>
        <v>-</v>
      </c>
      <c r="Z98" s="168"/>
      <c r="AA98" s="169"/>
      <c r="AF98" s="171"/>
    </row>
    <row r="99" spans="2:32" s="170" customFormat="1" ht="15.95" customHeight="1">
      <c r="B99" s="172"/>
      <c r="C99" s="706"/>
      <c r="D99" s="703"/>
      <c r="E99" s="739"/>
      <c r="F99" s="197" t="s">
        <v>242</v>
      </c>
      <c r="G99" s="197">
        <f>AG!F42</f>
        <v>93</v>
      </c>
      <c r="H99" s="197">
        <f>PPKN!F42</f>
        <v>90</v>
      </c>
      <c r="I99" s="197">
        <f>B.ind!F42</f>
        <v>84</v>
      </c>
      <c r="J99" s="197">
        <f>'Mat W'!F42</f>
        <v>84</v>
      </c>
      <c r="K99" s="197">
        <f>Sej!F42</f>
        <v>85</v>
      </c>
      <c r="L99" s="197">
        <f>B.Ing!F42</f>
        <v>84</v>
      </c>
      <c r="M99" s="197">
        <f>Seni!F42</f>
        <v>86</v>
      </c>
      <c r="N99" s="197">
        <f>Jas!F42</f>
        <v>90</v>
      </c>
      <c r="O99" s="197">
        <f>Pra!F42</f>
        <v>90</v>
      </c>
      <c r="P99" s="197">
        <f>'Mat P'!F42</f>
        <v>86</v>
      </c>
      <c r="Q99" s="197">
        <f>Bio!F42</f>
        <v>85</v>
      </c>
      <c r="R99" s="197">
        <f>Fis!F42</f>
        <v>85</v>
      </c>
      <c r="S99" s="197">
        <f>Kim!F42</f>
        <v>84</v>
      </c>
      <c r="T99" s="197">
        <f>'Eko (LM)'!$F$42</f>
        <v>88</v>
      </c>
      <c r="U99" s="197">
        <f>'Lin2'!$F$42</f>
        <v>0</v>
      </c>
      <c r="V99" s="202">
        <f>AVERAGE(G99:U99)</f>
        <v>80.933333333333337</v>
      </c>
      <c r="W99" s="700"/>
      <c r="X99" s="700"/>
      <c r="Y99" s="700"/>
      <c r="Z99" s="168"/>
      <c r="AA99" s="169"/>
      <c r="AF99" s="171"/>
    </row>
    <row r="100" spans="2:32" s="170" customFormat="1" ht="15.95" customHeight="1">
      <c r="B100" s="172"/>
      <c r="C100" s="707"/>
      <c r="D100" s="704"/>
      <c r="E100" s="740"/>
      <c r="F100" s="198" t="s">
        <v>40</v>
      </c>
      <c r="G100" s="197" t="str">
        <f>AG!G42</f>
        <v>SB</v>
      </c>
      <c r="H100" s="197" t="str">
        <f>PPKN!G42</f>
        <v>SB</v>
      </c>
      <c r="I100" s="197" t="str">
        <f>B.ind!G42</f>
        <v>B</v>
      </c>
      <c r="J100" s="197" t="str">
        <f>'Mat W'!G42</f>
        <v>B</v>
      </c>
      <c r="K100" s="197" t="str">
        <f>Sej!G42</f>
        <v>B</v>
      </c>
      <c r="L100" s="197" t="str">
        <f>B.Ing!G42</f>
        <v>B</v>
      </c>
      <c r="M100" s="197" t="str">
        <f>Seni!G42</f>
        <v>B</v>
      </c>
      <c r="N100" s="197" t="str">
        <f>Jas!G42</f>
        <v>B</v>
      </c>
      <c r="O100" s="197" t="str">
        <f>Pra!G42</f>
        <v>SB</v>
      </c>
      <c r="P100" s="197" t="str">
        <f>'Mat P'!G42</f>
        <v>B</v>
      </c>
      <c r="Q100" s="197" t="str">
        <f>Bio!G42</f>
        <v>B</v>
      </c>
      <c r="R100" s="197" t="str">
        <f>Fis!G$15</f>
        <v>B</v>
      </c>
      <c r="S100" s="197" t="str">
        <f>Kim!G42</f>
        <v>B</v>
      </c>
      <c r="T100" s="197" t="str">
        <f>'Eko (LM)'!$G$42</f>
        <v>SB</v>
      </c>
      <c r="U100" s="197">
        <f>'Lin2'!$G$42</f>
        <v>0</v>
      </c>
      <c r="V100" s="200"/>
      <c r="W100" s="701"/>
      <c r="X100" s="701"/>
      <c r="Y100" s="701"/>
      <c r="Z100" s="168"/>
      <c r="AA100" s="169"/>
      <c r="AF100" s="171"/>
    </row>
    <row r="101" spans="2:32" s="170" customFormat="1" ht="15.95" customHeight="1">
      <c r="B101" s="172"/>
      <c r="C101" s="705">
        <v>30</v>
      </c>
      <c r="D101" s="702" t="str">
        <f>DataSiswa!B37</f>
        <v>9990756408</v>
      </c>
      <c r="E101" s="742" t="str">
        <f>DataSiswa!C37</f>
        <v>Valdy Filando Sardi</v>
      </c>
      <c r="F101" s="201" t="s">
        <v>241</v>
      </c>
      <c r="G101" s="201">
        <f>AG!E43</f>
        <v>88</v>
      </c>
      <c r="H101" s="201">
        <f>PPKN!E43</f>
        <v>95</v>
      </c>
      <c r="I101" s="201">
        <f>B.ind!E43</f>
        <v>84</v>
      </c>
      <c r="J101" s="201">
        <f>'Mat W'!E43</f>
        <v>92</v>
      </c>
      <c r="K101" s="201">
        <f>Sej!E43</f>
        <v>84</v>
      </c>
      <c r="L101" s="201">
        <f>B.Ing!E43</f>
        <v>86</v>
      </c>
      <c r="M101" s="201">
        <f>Seni!E43</f>
        <v>83</v>
      </c>
      <c r="N101" s="201">
        <f>Jas!E43</f>
        <v>88</v>
      </c>
      <c r="O101" s="201">
        <f>Pra!E43</f>
        <v>88</v>
      </c>
      <c r="P101" s="201">
        <f>'Mat P'!E43</f>
        <v>87</v>
      </c>
      <c r="Q101" s="201">
        <f>Bio!E43</f>
        <v>87</v>
      </c>
      <c r="R101" s="201">
        <f>Fis!E43</f>
        <v>83</v>
      </c>
      <c r="S101" s="201">
        <f>Kim!E43</f>
        <v>90</v>
      </c>
      <c r="T101" s="201">
        <f>'Eko (LM)'!$E$43</f>
        <v>84</v>
      </c>
      <c r="U101" s="201">
        <f>'Lin2'!$E$43</f>
        <v>0</v>
      </c>
      <c r="V101" s="202">
        <f>AVERAGE(G101:U101)</f>
        <v>81.266666666666666</v>
      </c>
      <c r="W101" s="699" t="str">
        <f>Absen!G38</f>
        <v>-</v>
      </c>
      <c r="X101" s="699">
        <f>Absen!H38</f>
        <v>2</v>
      </c>
      <c r="Y101" s="699" t="str">
        <f>Absen!I38</f>
        <v>-</v>
      </c>
      <c r="Z101" s="168"/>
      <c r="AA101" s="169"/>
      <c r="AF101" s="171"/>
    </row>
    <row r="102" spans="2:32" s="170" customFormat="1" ht="15.95" customHeight="1">
      <c r="B102" s="172"/>
      <c r="C102" s="706"/>
      <c r="D102" s="703"/>
      <c r="E102" s="739"/>
      <c r="F102" s="197" t="s">
        <v>242</v>
      </c>
      <c r="G102" s="197">
        <f>AG!F43</f>
        <v>90</v>
      </c>
      <c r="H102" s="197">
        <f>PPKN!F43</f>
        <v>90</v>
      </c>
      <c r="I102" s="197">
        <f>B.ind!F43</f>
        <v>85</v>
      </c>
      <c r="J102" s="197">
        <f>'Mat W'!F43</f>
        <v>88</v>
      </c>
      <c r="K102" s="197">
        <f>Sej!F43</f>
        <v>84</v>
      </c>
      <c r="L102" s="197">
        <f>B.Ing!F43</f>
        <v>85</v>
      </c>
      <c r="M102" s="197">
        <f>Seni!F43</f>
        <v>85</v>
      </c>
      <c r="N102" s="197">
        <f>Jas!F43</f>
        <v>90</v>
      </c>
      <c r="O102" s="197">
        <f>Pra!F43</f>
        <v>90</v>
      </c>
      <c r="P102" s="197">
        <f>'Mat P'!F43</f>
        <v>84</v>
      </c>
      <c r="Q102" s="197">
        <f>Bio!F43</f>
        <v>86</v>
      </c>
      <c r="R102" s="197">
        <f>Fis!F43</f>
        <v>85</v>
      </c>
      <c r="S102" s="197">
        <f>Kim!F43</f>
        <v>90</v>
      </c>
      <c r="T102" s="197">
        <f>'Eko (LM)'!$F$43</f>
        <v>88</v>
      </c>
      <c r="U102" s="197">
        <f>'Lin2'!$F$43</f>
        <v>0</v>
      </c>
      <c r="V102" s="202">
        <f>AVERAGE(G102:U102)</f>
        <v>81.333333333333329</v>
      </c>
      <c r="W102" s="700"/>
      <c r="X102" s="700"/>
      <c r="Y102" s="700"/>
      <c r="Z102" s="168"/>
      <c r="AA102" s="169"/>
      <c r="AF102" s="171"/>
    </row>
    <row r="103" spans="2:32" s="170" customFormat="1" ht="15.95" customHeight="1">
      <c r="B103" s="172"/>
      <c r="C103" s="707"/>
      <c r="D103" s="704"/>
      <c r="E103" s="740"/>
      <c r="F103" s="198" t="s">
        <v>40</v>
      </c>
      <c r="G103" s="197" t="str">
        <f>AG!G43</f>
        <v>SB</v>
      </c>
      <c r="H103" s="197" t="str">
        <f>PPKN!G43</f>
        <v>SB</v>
      </c>
      <c r="I103" s="197" t="str">
        <f>B.ind!G43</f>
        <v>B</v>
      </c>
      <c r="J103" s="197" t="str">
        <f>'Mat W'!G43</f>
        <v>SB</v>
      </c>
      <c r="K103" s="197" t="str">
        <f>Sej!G43</f>
        <v>B</v>
      </c>
      <c r="L103" s="197" t="str">
        <f>B.Ing!G43</f>
        <v>B</v>
      </c>
      <c r="M103" s="197" t="str">
        <f>Seni!G43</f>
        <v>B</v>
      </c>
      <c r="N103" s="197" t="str">
        <f>Jas!G43</f>
        <v>B</v>
      </c>
      <c r="O103" s="197" t="str">
        <f>Pra!G43</f>
        <v>B</v>
      </c>
      <c r="P103" s="197" t="str">
        <f>'Mat P'!G43</f>
        <v>B</v>
      </c>
      <c r="Q103" s="197" t="str">
        <f>Bio!G43</f>
        <v>B</v>
      </c>
      <c r="R103" s="197" t="str">
        <f>Fis!G$15</f>
        <v>B</v>
      </c>
      <c r="S103" s="197" t="str">
        <f>Kim!G43</f>
        <v>SB</v>
      </c>
      <c r="T103" s="197" t="str">
        <f>'Eko (LM)'!$G$43</f>
        <v>SB</v>
      </c>
      <c r="U103" s="197" t="str">
        <f>'Eko (LM)'!$G$43</f>
        <v>SB</v>
      </c>
      <c r="V103" s="200"/>
      <c r="W103" s="701"/>
      <c r="X103" s="701"/>
      <c r="Y103" s="701"/>
      <c r="Z103" s="168"/>
      <c r="AA103" s="169"/>
      <c r="AF103" s="171"/>
    </row>
    <row r="104" spans="2:32" s="170" customFormat="1" ht="15.95" customHeight="1">
      <c r="B104" s="172"/>
      <c r="C104" s="706">
        <v>31</v>
      </c>
      <c r="D104" s="702" t="str">
        <f>DataSiswa!B38</f>
        <v>9980816670</v>
      </c>
      <c r="E104" s="742" t="str">
        <f>DataSiswa!C38</f>
        <v>Vonny Maitaveri</v>
      </c>
      <c r="F104" s="201" t="s">
        <v>241</v>
      </c>
      <c r="G104" s="201">
        <f>AG!E44</f>
        <v>87</v>
      </c>
      <c r="H104" s="201">
        <f>PPKN!E44</f>
        <v>84</v>
      </c>
      <c r="I104" s="201">
        <f>B.ind!E44</f>
        <v>83</v>
      </c>
      <c r="J104" s="201">
        <f>'Mat W'!E44</f>
        <v>84</v>
      </c>
      <c r="K104" s="201">
        <f>Sej!E44</f>
        <v>87</v>
      </c>
      <c r="L104" s="201">
        <f>B.Ing!E44</f>
        <v>83</v>
      </c>
      <c r="M104" s="201">
        <f>Seni!E44</f>
        <v>85</v>
      </c>
      <c r="N104" s="201">
        <f>Jas!E44</f>
        <v>88</v>
      </c>
      <c r="O104" s="201">
        <f>Pra!E44</f>
        <v>89</v>
      </c>
      <c r="P104" s="201">
        <f>'Mat P'!E44</f>
        <v>84</v>
      </c>
      <c r="Q104" s="201">
        <f>Bio!E44</f>
        <v>86</v>
      </c>
      <c r="R104" s="201">
        <f>Fis!E44</f>
        <v>84</v>
      </c>
      <c r="S104" s="201">
        <f>Kim!E44</f>
        <v>87</v>
      </c>
      <c r="T104" s="201">
        <f>'Eko (LM)'!$E$44</f>
        <v>84</v>
      </c>
      <c r="U104" s="201">
        <f>'Lin2'!$E$44</f>
        <v>0</v>
      </c>
      <c r="V104" s="202">
        <f>AVERAGE(G104:U104)</f>
        <v>79.666666666666671</v>
      </c>
      <c r="W104" s="699" t="str">
        <f>Absen!G39</f>
        <v>-</v>
      </c>
      <c r="X104" s="699" t="str">
        <f>Absen!H39</f>
        <v>-</v>
      </c>
      <c r="Y104" s="699" t="str">
        <f>Absen!I39</f>
        <v>-</v>
      </c>
      <c r="Z104" s="168"/>
      <c r="AA104" s="169"/>
      <c r="AF104" s="171"/>
    </row>
    <row r="105" spans="2:32" s="170" customFormat="1" ht="15.95" customHeight="1">
      <c r="B105" s="172"/>
      <c r="C105" s="706"/>
      <c r="D105" s="703"/>
      <c r="E105" s="739"/>
      <c r="F105" s="197" t="s">
        <v>242</v>
      </c>
      <c r="G105" s="197">
        <f>AG!F44</f>
        <v>95</v>
      </c>
      <c r="H105" s="197">
        <f>PPKN!F44</f>
        <v>86</v>
      </c>
      <c r="I105" s="197">
        <f>B.ind!F44</f>
        <v>84</v>
      </c>
      <c r="J105" s="197">
        <f>'Mat W'!F44</f>
        <v>85</v>
      </c>
      <c r="K105" s="197">
        <f>Sej!F44</f>
        <v>83</v>
      </c>
      <c r="L105" s="197">
        <f>B.Ing!F44</f>
        <v>87</v>
      </c>
      <c r="M105" s="197">
        <f>Seni!F44</f>
        <v>85</v>
      </c>
      <c r="N105" s="197">
        <f>Jas!F44</f>
        <v>90</v>
      </c>
      <c r="O105" s="197">
        <f>Pra!F44</f>
        <v>90</v>
      </c>
      <c r="P105" s="197">
        <f>'Mat P'!F44</f>
        <v>86</v>
      </c>
      <c r="Q105" s="197">
        <f>Bio!F44</f>
        <v>85</v>
      </c>
      <c r="R105" s="197">
        <f>Fis!F44</f>
        <v>85</v>
      </c>
      <c r="S105" s="197">
        <f>Kim!F44</f>
        <v>88</v>
      </c>
      <c r="T105" s="197">
        <f>'Eko (LM)'!$F$44</f>
        <v>88</v>
      </c>
      <c r="U105" s="197">
        <f>'Lin2'!$F$44</f>
        <v>0</v>
      </c>
      <c r="V105" s="202">
        <f>AVERAGE(G105:U105)</f>
        <v>81.13333333333334</v>
      </c>
      <c r="W105" s="700"/>
      <c r="X105" s="700"/>
      <c r="Y105" s="700"/>
      <c r="Z105" s="168"/>
      <c r="AA105" s="169"/>
      <c r="AF105" s="171"/>
    </row>
    <row r="106" spans="2:32" s="170" customFormat="1" ht="15.95" customHeight="1">
      <c r="B106" s="172"/>
      <c r="C106" s="707"/>
      <c r="D106" s="704"/>
      <c r="E106" s="740"/>
      <c r="F106" s="198" t="s">
        <v>40</v>
      </c>
      <c r="G106" s="197" t="str">
        <f>AG!G44</f>
        <v>SB</v>
      </c>
      <c r="H106" s="197" t="str">
        <f>PPKN!G44</f>
        <v>SB</v>
      </c>
      <c r="I106" s="197" t="str">
        <f>B.ind!G44</f>
        <v>B</v>
      </c>
      <c r="J106" s="197" t="str">
        <f>'Mat W'!G44</f>
        <v>B</v>
      </c>
      <c r="K106" s="197" t="str">
        <f>Sej!G44</f>
        <v>B</v>
      </c>
      <c r="L106" s="197" t="str">
        <f>B.Ing!G44</f>
        <v>B</v>
      </c>
      <c r="M106" s="197" t="str">
        <f>Seni!G44</f>
        <v>B</v>
      </c>
      <c r="N106" s="197" t="str">
        <f>Jas!G44</f>
        <v>B</v>
      </c>
      <c r="O106" s="197" t="str">
        <f>Pra!G44</f>
        <v>SB</v>
      </c>
      <c r="P106" s="197" t="str">
        <f>'Mat P'!G44</f>
        <v>B</v>
      </c>
      <c r="Q106" s="197" t="str">
        <f>Bio!G44</f>
        <v>B</v>
      </c>
      <c r="R106" s="197" t="str">
        <f>Fis!G$15</f>
        <v>B</v>
      </c>
      <c r="S106" s="197" t="str">
        <f>Kim!G44</f>
        <v>SB</v>
      </c>
      <c r="T106" s="197" t="str">
        <f>'Eko (LM)'!$G$44</f>
        <v>SB</v>
      </c>
      <c r="U106" s="197">
        <f>'Lin2'!$G$44</f>
        <v>0</v>
      </c>
      <c r="V106" s="200"/>
      <c r="W106" s="701"/>
      <c r="X106" s="701"/>
      <c r="Y106" s="701"/>
      <c r="Z106" s="168"/>
      <c r="AA106" s="169"/>
      <c r="AF106" s="171"/>
    </row>
    <row r="107" spans="2:32" s="170" customFormat="1" ht="15.95" customHeight="1">
      <c r="B107" s="172"/>
      <c r="C107" s="705">
        <v>32</v>
      </c>
      <c r="D107" s="702" t="str">
        <f>DataSiswa!B39</f>
        <v>9982889268</v>
      </c>
      <c r="E107" s="742" t="str">
        <f>DataSiswa!C39</f>
        <v>Wahyu Yolanda</v>
      </c>
      <c r="F107" s="201" t="s">
        <v>241</v>
      </c>
      <c r="G107" s="201">
        <f>AG!E45</f>
        <v>90</v>
      </c>
      <c r="H107" s="201">
        <f>PPKN!E45</f>
        <v>86</v>
      </c>
      <c r="I107" s="201">
        <f>B.ind!E45</f>
        <v>84</v>
      </c>
      <c r="J107" s="201">
        <f>'Mat W'!E45</f>
        <v>91</v>
      </c>
      <c r="K107" s="201">
        <f>Sej!E45</f>
        <v>84</v>
      </c>
      <c r="L107" s="201">
        <f>B.Ing!E45</f>
        <v>86</v>
      </c>
      <c r="M107" s="201">
        <f>Seni!E45</f>
        <v>85</v>
      </c>
      <c r="N107" s="201">
        <f>Jas!E45</f>
        <v>86</v>
      </c>
      <c r="O107" s="201">
        <f>Pra!E45</f>
        <v>89</v>
      </c>
      <c r="P107" s="201">
        <f>'Mat P'!E45</f>
        <v>86</v>
      </c>
      <c r="Q107" s="201">
        <f>Bio!E45</f>
        <v>87</v>
      </c>
      <c r="R107" s="201">
        <f>Fis!E45</f>
        <v>83</v>
      </c>
      <c r="S107" s="201">
        <f>Kim!E45</f>
        <v>83</v>
      </c>
      <c r="T107" s="201">
        <f>'Eko (LM)'!$E$45</f>
        <v>88</v>
      </c>
      <c r="U107" s="201">
        <f>'Lin2'!$E$45</f>
        <v>0</v>
      </c>
      <c r="V107" s="202">
        <f>AVERAGE(G107:U107)</f>
        <v>80.533333333333331</v>
      </c>
      <c r="W107" s="699" t="str">
        <f>Absen!G40</f>
        <v>-</v>
      </c>
      <c r="X107" s="699" t="str">
        <f>Absen!H40</f>
        <v>-</v>
      </c>
      <c r="Y107" s="699" t="str">
        <f>Absen!I40</f>
        <v>-</v>
      </c>
      <c r="Z107" s="168"/>
      <c r="AA107" s="169"/>
      <c r="AF107" s="171"/>
    </row>
    <row r="108" spans="2:32" s="170" customFormat="1" ht="15.95" customHeight="1">
      <c r="B108" s="172"/>
      <c r="C108" s="706"/>
      <c r="D108" s="703" t="e">
        <f>#REF!</f>
        <v>#REF!</v>
      </c>
      <c r="E108" s="739" t="e">
        <f>#REF!</f>
        <v>#REF!</v>
      </c>
      <c r="F108" s="197" t="s">
        <v>242</v>
      </c>
      <c r="G108" s="197">
        <f>AG!F45</f>
        <v>96</v>
      </c>
      <c r="H108" s="197">
        <f>PPKN!F45</f>
        <v>88</v>
      </c>
      <c r="I108" s="197">
        <f>B.ind!F45</f>
        <v>84</v>
      </c>
      <c r="J108" s="197">
        <f>'Mat W'!F45</f>
        <v>85</v>
      </c>
      <c r="K108" s="197">
        <f>Sej!F45</f>
        <v>85</v>
      </c>
      <c r="L108" s="197">
        <f>B.Ing!F45</f>
        <v>84</v>
      </c>
      <c r="M108" s="197">
        <f>Seni!F45</f>
        <v>86</v>
      </c>
      <c r="N108" s="197">
        <f>Jas!F45</f>
        <v>87</v>
      </c>
      <c r="O108" s="197">
        <f>Pra!F45</f>
        <v>90</v>
      </c>
      <c r="P108" s="197">
        <f>'Mat P'!F45</f>
        <v>86</v>
      </c>
      <c r="Q108" s="197">
        <f>Bio!F45</f>
        <v>86</v>
      </c>
      <c r="R108" s="197">
        <f>Fis!F45</f>
        <v>85</v>
      </c>
      <c r="S108" s="197">
        <f>Kim!F45</f>
        <v>84</v>
      </c>
      <c r="T108" s="197">
        <f>'Eko (LM)'!$F$45</f>
        <v>88</v>
      </c>
      <c r="U108" s="197">
        <f>'Lin2'!$F$45</f>
        <v>0</v>
      </c>
      <c r="V108" s="202">
        <f>AVERAGE(G108:U108)</f>
        <v>80.933333333333337</v>
      </c>
      <c r="W108" s="700"/>
      <c r="X108" s="700"/>
      <c r="Y108" s="700"/>
      <c r="Z108" s="168"/>
      <c r="AA108" s="169"/>
      <c r="AF108" s="171"/>
    </row>
    <row r="109" spans="2:32" s="170" customFormat="1" ht="15.95" customHeight="1">
      <c r="B109" s="172"/>
      <c r="C109" s="707"/>
      <c r="D109" s="704" t="e">
        <f>#REF!</f>
        <v>#REF!</v>
      </c>
      <c r="E109" s="740" t="e">
        <f>#REF!</f>
        <v>#REF!</v>
      </c>
      <c r="F109" s="198" t="s">
        <v>40</v>
      </c>
      <c r="G109" s="197" t="str">
        <f>AG!G45</f>
        <v>SB</v>
      </c>
      <c r="H109" s="197" t="str">
        <f>PPKN!G45</f>
        <v>SB</v>
      </c>
      <c r="I109" s="197" t="str">
        <f>B.ind!G45</f>
        <v>B</v>
      </c>
      <c r="J109" s="197" t="str">
        <f>'Mat W'!G45</f>
        <v>B</v>
      </c>
      <c r="K109" s="197" t="str">
        <f>Sej!G45</f>
        <v>B</v>
      </c>
      <c r="L109" s="197" t="str">
        <f>B.Ing!G45</f>
        <v>B</v>
      </c>
      <c r="M109" s="197" t="str">
        <f>Seni!G45</f>
        <v>B</v>
      </c>
      <c r="N109" s="197" t="str">
        <f>Jas!G45</f>
        <v>B</v>
      </c>
      <c r="O109" s="197" t="str">
        <f>Pra!G45</f>
        <v>SB</v>
      </c>
      <c r="P109" s="197" t="str">
        <f>'Mat P'!G45</f>
        <v>B</v>
      </c>
      <c r="Q109" s="197" t="str">
        <f>Bio!G45</f>
        <v>B</v>
      </c>
      <c r="R109" s="197" t="str">
        <f>Fis!G$15</f>
        <v>B</v>
      </c>
      <c r="S109" s="197" t="str">
        <f>Kim!G45</f>
        <v>SB</v>
      </c>
      <c r="T109" s="197" t="str">
        <f>'Eko (LM)'!$G$45</f>
        <v>SB</v>
      </c>
      <c r="U109" s="197">
        <f>'Lin2'!$G$45</f>
        <v>0</v>
      </c>
      <c r="V109" s="200"/>
      <c r="W109" s="701"/>
      <c r="X109" s="701"/>
      <c r="Y109" s="701"/>
      <c r="Z109" s="168"/>
      <c r="AA109" s="169"/>
      <c r="AF109" s="171"/>
    </row>
    <row r="110" spans="2:32" s="170" customFormat="1" ht="15.95" customHeight="1">
      <c r="B110" s="172"/>
      <c r="C110" s="705">
        <v>33</v>
      </c>
      <c r="D110" s="702">
        <f>DataSiswa!B40</f>
        <v>0</v>
      </c>
      <c r="E110" s="742">
        <f>DataSiswa!C40</f>
        <v>0</v>
      </c>
      <c r="F110" s="201" t="s">
        <v>241</v>
      </c>
      <c r="G110" s="201">
        <f>AG!E46</f>
        <v>0</v>
      </c>
      <c r="H110" s="201">
        <f>PPKN!E46</f>
        <v>0</v>
      </c>
      <c r="I110" s="201">
        <f>B.ind!E46</f>
        <v>0</v>
      </c>
      <c r="J110" s="201">
        <f>'Mat W'!E46</f>
        <v>0</v>
      </c>
      <c r="K110" s="201">
        <f>Sej!E46</f>
        <v>0</v>
      </c>
      <c r="L110" s="201">
        <f>B.Ing!E46</f>
        <v>0</v>
      </c>
      <c r="M110" s="201">
        <f>Seni!E46</f>
        <v>0</v>
      </c>
      <c r="N110" s="201">
        <f>Jas!E46</f>
        <v>0</v>
      </c>
      <c r="O110" s="201">
        <f>Pra!E46</f>
        <v>0</v>
      </c>
      <c r="P110" s="201">
        <f>'Mat P'!E46</f>
        <v>0</v>
      </c>
      <c r="Q110" s="201">
        <f>Bio!E46</f>
        <v>0</v>
      </c>
      <c r="R110" s="201">
        <f>Fis!E46</f>
        <v>0</v>
      </c>
      <c r="S110" s="201">
        <f>Kim!E46</f>
        <v>0</v>
      </c>
      <c r="T110" s="201">
        <f>'Eko (LM)'!$E$46</f>
        <v>0</v>
      </c>
      <c r="U110" s="201">
        <f>'Lin2'!$E$46</f>
        <v>0</v>
      </c>
      <c r="V110" s="202">
        <f>AVERAGE(G110:U110)</f>
        <v>0</v>
      </c>
      <c r="W110" s="699">
        <f>Absen!G41</f>
        <v>0</v>
      </c>
      <c r="X110" s="699">
        <f>Absen!H41</f>
        <v>0</v>
      </c>
      <c r="Y110" s="699">
        <f>Absen!I41</f>
        <v>0</v>
      </c>
      <c r="Z110" s="168"/>
      <c r="AA110" s="169"/>
      <c r="AF110" s="171"/>
    </row>
    <row r="111" spans="2:32" s="170" customFormat="1" ht="15.95" customHeight="1">
      <c r="B111" s="172"/>
      <c r="C111" s="706"/>
      <c r="D111" s="703" t="e">
        <f>#REF!</f>
        <v>#REF!</v>
      </c>
      <c r="E111" s="739" t="e">
        <f>#REF!</f>
        <v>#REF!</v>
      </c>
      <c r="F111" s="197" t="s">
        <v>242</v>
      </c>
      <c r="G111" s="197">
        <f>AG!F46</f>
        <v>0</v>
      </c>
      <c r="H111" s="197">
        <f>PPKN!F46</f>
        <v>0</v>
      </c>
      <c r="I111" s="197">
        <f>B.ind!F46</f>
        <v>0</v>
      </c>
      <c r="J111" s="197">
        <f>'Mat W'!F46</f>
        <v>0</v>
      </c>
      <c r="K111" s="197">
        <f>Sej!F46</f>
        <v>0</v>
      </c>
      <c r="L111" s="197">
        <f>B.Ing!F46</f>
        <v>0</v>
      </c>
      <c r="M111" s="197">
        <f>Seni!F46</f>
        <v>0</v>
      </c>
      <c r="N111" s="197">
        <f>Jas!F46</f>
        <v>0</v>
      </c>
      <c r="O111" s="197">
        <f>Pra!F46</f>
        <v>0</v>
      </c>
      <c r="P111" s="197">
        <f>'Mat P'!F46</f>
        <v>0</v>
      </c>
      <c r="Q111" s="197">
        <f>Bio!F46</f>
        <v>0</v>
      </c>
      <c r="R111" s="197">
        <f>Fis!F46</f>
        <v>0</v>
      </c>
      <c r="S111" s="197">
        <f>Kim!F46</f>
        <v>0</v>
      </c>
      <c r="T111" s="197">
        <f>'Eko (LM)'!$F$46</f>
        <v>0</v>
      </c>
      <c r="U111" s="197">
        <f>'Lin2'!$F$46</f>
        <v>0</v>
      </c>
      <c r="V111" s="202">
        <f>AVERAGE(G111:U111)</f>
        <v>0</v>
      </c>
      <c r="W111" s="700"/>
      <c r="X111" s="700"/>
      <c r="Y111" s="700"/>
      <c r="Z111" s="168"/>
      <c r="AA111" s="169"/>
      <c r="AF111" s="171"/>
    </row>
    <row r="112" spans="2:32" s="170" customFormat="1" ht="15.95" customHeight="1">
      <c r="B112" s="172"/>
      <c r="C112" s="707"/>
      <c r="D112" s="704" t="e">
        <f>#REF!</f>
        <v>#REF!</v>
      </c>
      <c r="E112" s="740" t="e">
        <f>#REF!</f>
        <v>#REF!</v>
      </c>
      <c r="F112" s="198" t="s">
        <v>40</v>
      </c>
      <c r="G112" s="197">
        <f>AG!G46</f>
        <v>0</v>
      </c>
      <c r="H112" s="197">
        <f>PPKN!G46</f>
        <v>0</v>
      </c>
      <c r="I112" s="197">
        <f>B.ind!G46</f>
        <v>0</v>
      </c>
      <c r="J112" s="197">
        <f>'Mat W'!G46</f>
        <v>0</v>
      </c>
      <c r="K112" s="197">
        <f>Sej!G46</f>
        <v>0</v>
      </c>
      <c r="L112" s="197">
        <f>B.Ing!G46</f>
        <v>0</v>
      </c>
      <c r="M112" s="197">
        <f>Seni!G46</f>
        <v>0</v>
      </c>
      <c r="N112" s="197">
        <f>Jas!G46</f>
        <v>0</v>
      </c>
      <c r="O112" s="197">
        <f>Pra!G46</f>
        <v>0</v>
      </c>
      <c r="P112" s="197">
        <f>'Mat P'!G46</f>
        <v>0</v>
      </c>
      <c r="Q112" s="197">
        <f>Bio!G46</f>
        <v>0</v>
      </c>
      <c r="R112" s="197" t="str">
        <f>Fis!G$15</f>
        <v>B</v>
      </c>
      <c r="S112" s="197">
        <f>Kim!G46</f>
        <v>0</v>
      </c>
      <c r="T112" s="197">
        <f>'Eko (LM)'!$G$46</f>
        <v>0</v>
      </c>
      <c r="U112" s="197">
        <f>'Lin2'!$G$46</f>
        <v>0</v>
      </c>
      <c r="V112" s="200"/>
      <c r="W112" s="701"/>
      <c r="X112" s="701"/>
      <c r="Y112" s="701"/>
      <c r="Z112" s="168"/>
      <c r="AA112" s="169"/>
      <c r="AF112" s="171"/>
    </row>
    <row r="113" spans="2:32" s="170" customFormat="1" ht="15.95" customHeight="1">
      <c r="B113" s="172"/>
      <c r="C113" s="705">
        <v>34</v>
      </c>
      <c r="D113" s="695">
        <f>DataSiswa!B41</f>
        <v>0</v>
      </c>
      <c r="E113" s="696">
        <f>DataSiswa!C41</f>
        <v>0</v>
      </c>
      <c r="F113" s="201" t="s">
        <v>241</v>
      </c>
      <c r="G113" s="201">
        <f>AG!E47</f>
        <v>0</v>
      </c>
      <c r="H113" s="201">
        <f>PPKN!E47</f>
        <v>0</v>
      </c>
      <c r="I113" s="201">
        <f>B.ind!E47</f>
        <v>0</v>
      </c>
      <c r="J113" s="201">
        <f>'Mat W'!E47</f>
        <v>0</v>
      </c>
      <c r="K113" s="201">
        <f>Sej!E47</f>
        <v>0</v>
      </c>
      <c r="L113" s="201">
        <f>B.Ing!E47</f>
        <v>0</v>
      </c>
      <c r="M113" s="201">
        <f>Seni!E47</f>
        <v>0</v>
      </c>
      <c r="N113" s="201">
        <f>Jas!E47</f>
        <v>0</v>
      </c>
      <c r="O113" s="201">
        <f>Pra!E47</f>
        <v>0</v>
      </c>
      <c r="P113" s="201">
        <f>'Mat P'!E47</f>
        <v>0</v>
      </c>
      <c r="Q113" s="201">
        <f>Bio!E47</f>
        <v>0</v>
      </c>
      <c r="R113" s="201">
        <f>Fis!E47</f>
        <v>0</v>
      </c>
      <c r="S113" s="201">
        <f>Kim!E47</f>
        <v>0</v>
      </c>
      <c r="T113" s="201">
        <f>'Eko (LM)'!$E$47</f>
        <v>0</v>
      </c>
      <c r="U113" s="201">
        <f>'Lin2'!$E$47</f>
        <v>0</v>
      </c>
      <c r="V113" s="202">
        <f>AVERAGE(G113:U113)</f>
        <v>0</v>
      </c>
      <c r="W113" s="699">
        <f>Absen!G42</f>
        <v>0</v>
      </c>
      <c r="X113" s="699">
        <f>Absen!H42</f>
        <v>0</v>
      </c>
      <c r="Y113" s="699">
        <f>Absen!I42</f>
        <v>0</v>
      </c>
      <c r="Z113" s="168"/>
      <c r="AA113" s="169"/>
      <c r="AF113" s="171"/>
    </row>
    <row r="114" spans="2:32" s="170" customFormat="1" ht="15.95" customHeight="1">
      <c r="B114" s="172"/>
      <c r="C114" s="706"/>
      <c r="D114" s="695" t="e">
        <f>#REF!</f>
        <v>#REF!</v>
      </c>
      <c r="E114" s="697" t="e">
        <f>#REF!</f>
        <v>#REF!</v>
      </c>
      <c r="F114" s="197" t="s">
        <v>242</v>
      </c>
      <c r="G114" s="197">
        <f>AG!F47</f>
        <v>0</v>
      </c>
      <c r="H114" s="197">
        <f>PPKN!F47</f>
        <v>0</v>
      </c>
      <c r="I114" s="197">
        <f>B.ind!F47</f>
        <v>0</v>
      </c>
      <c r="J114" s="197">
        <f>'Mat W'!F47</f>
        <v>0</v>
      </c>
      <c r="K114" s="197">
        <f>Sej!F47</f>
        <v>0</v>
      </c>
      <c r="L114" s="197">
        <f>B.Ing!F47</f>
        <v>0</v>
      </c>
      <c r="M114" s="197">
        <f>Seni!F47</f>
        <v>0</v>
      </c>
      <c r="N114" s="197">
        <f>Jas!F47</f>
        <v>0</v>
      </c>
      <c r="O114" s="197">
        <f>Pra!F47</f>
        <v>0</v>
      </c>
      <c r="P114" s="197">
        <f>'Mat P'!F47</f>
        <v>0</v>
      </c>
      <c r="Q114" s="197">
        <f>Bio!F47</f>
        <v>0</v>
      </c>
      <c r="R114" s="197">
        <f>Fis!F47</f>
        <v>0</v>
      </c>
      <c r="S114" s="197">
        <f>Kim!F47</f>
        <v>0</v>
      </c>
      <c r="T114" s="197">
        <f>'Eko (LM)'!$F$47</f>
        <v>0</v>
      </c>
      <c r="U114" s="197">
        <f>'Lin2'!$F$47</f>
        <v>0</v>
      </c>
      <c r="V114" s="202">
        <f>AVERAGE(G114:U114)</f>
        <v>0</v>
      </c>
      <c r="W114" s="700"/>
      <c r="X114" s="700"/>
      <c r="Y114" s="700"/>
      <c r="Z114" s="168"/>
      <c r="AA114" s="169"/>
      <c r="AF114" s="171"/>
    </row>
    <row r="115" spans="2:32" s="170" customFormat="1" ht="15.95" customHeight="1">
      <c r="B115" s="172"/>
      <c r="C115" s="707"/>
      <c r="D115" s="695" t="e">
        <f>#REF!</f>
        <v>#REF!</v>
      </c>
      <c r="E115" s="698" t="e">
        <f>#REF!</f>
        <v>#REF!</v>
      </c>
      <c r="F115" s="198" t="s">
        <v>40</v>
      </c>
      <c r="G115" s="197">
        <f>AG!G47</f>
        <v>0</v>
      </c>
      <c r="H115" s="197">
        <f>PPKN!G47</f>
        <v>0</v>
      </c>
      <c r="I115" s="197">
        <f>B.ind!G47</f>
        <v>0</v>
      </c>
      <c r="J115" s="197">
        <f>'Mat W'!G47</f>
        <v>0</v>
      </c>
      <c r="K115" s="197">
        <f>Sej!G47</f>
        <v>0</v>
      </c>
      <c r="L115" s="197">
        <f>B.Ing!G47</f>
        <v>0</v>
      </c>
      <c r="M115" s="197">
        <f>Seni!G47</f>
        <v>0</v>
      </c>
      <c r="N115" s="197">
        <f>Jas!G47</f>
        <v>0</v>
      </c>
      <c r="O115" s="197">
        <f>Pra!G47</f>
        <v>0</v>
      </c>
      <c r="P115" s="197">
        <f>'Mat P'!G47</f>
        <v>0</v>
      </c>
      <c r="Q115" s="197">
        <f>Bio!G47</f>
        <v>0</v>
      </c>
      <c r="R115" s="197" t="str">
        <f>Fis!G$15</f>
        <v>B</v>
      </c>
      <c r="S115" s="197">
        <f>Kim!G47</f>
        <v>0</v>
      </c>
      <c r="T115" s="197">
        <f>'Eko (LM)'!$G$47</f>
        <v>0</v>
      </c>
      <c r="U115" s="197">
        <f>'Lin2'!$G$47</f>
        <v>0</v>
      </c>
      <c r="V115" s="200"/>
      <c r="W115" s="701"/>
      <c r="X115" s="701"/>
      <c r="Y115" s="701"/>
      <c r="Z115" s="168"/>
      <c r="AA115" s="169"/>
      <c r="AF115" s="171"/>
    </row>
    <row r="116" spans="2:32" s="170" customFormat="1" ht="15.95" customHeight="1">
      <c r="B116" s="172"/>
      <c r="C116" s="705">
        <v>35</v>
      </c>
      <c r="D116" s="695">
        <f>DataSiswa!B42</f>
        <v>0</v>
      </c>
      <c r="E116" s="696">
        <f>DataSiswa!C42</f>
        <v>0</v>
      </c>
      <c r="F116" s="201" t="s">
        <v>241</v>
      </c>
      <c r="G116" s="201">
        <f>AG!E48</f>
        <v>0</v>
      </c>
      <c r="H116" s="201">
        <f>PPKN!E48</f>
        <v>0</v>
      </c>
      <c r="I116" s="201">
        <f>B.ind!E48</f>
        <v>0</v>
      </c>
      <c r="J116" s="201">
        <f>'Mat W'!E48</f>
        <v>0</v>
      </c>
      <c r="K116" s="201">
        <f>Sej!E48</f>
        <v>0</v>
      </c>
      <c r="L116" s="201">
        <f>B.Ing!E48</f>
        <v>0</v>
      </c>
      <c r="M116" s="201">
        <f>Seni!E48</f>
        <v>0</v>
      </c>
      <c r="N116" s="201">
        <f>Jas!E48</f>
        <v>0</v>
      </c>
      <c r="O116" s="201">
        <f>Pra!E48</f>
        <v>0</v>
      </c>
      <c r="P116" s="201">
        <f>'Mat P'!E48</f>
        <v>0</v>
      </c>
      <c r="Q116" s="201">
        <f>Bio!E48</f>
        <v>0</v>
      </c>
      <c r="R116" s="201">
        <f>Fis!E48</f>
        <v>0</v>
      </c>
      <c r="S116" s="201">
        <f>Kim!E48</f>
        <v>0</v>
      </c>
      <c r="T116" s="201">
        <f>'Eko (LM)'!$E$48</f>
        <v>0</v>
      </c>
      <c r="U116" s="201">
        <f>'Lin2'!$E$48</f>
        <v>0</v>
      </c>
      <c r="V116" s="202">
        <f>AVERAGE(G116:U116)</f>
        <v>0</v>
      </c>
      <c r="W116" s="699">
        <f>Absen!G43</f>
        <v>0</v>
      </c>
      <c r="X116" s="699">
        <f>Absen!H43</f>
        <v>0</v>
      </c>
      <c r="Y116" s="699">
        <f>Absen!I43</f>
        <v>0</v>
      </c>
      <c r="Z116" s="168"/>
      <c r="AA116" s="169"/>
      <c r="AF116" s="171"/>
    </row>
    <row r="117" spans="2:32" s="170" customFormat="1" ht="15.95" customHeight="1">
      <c r="B117" s="172"/>
      <c r="C117" s="706"/>
      <c r="D117" s="695" t="e">
        <f>#REF!</f>
        <v>#REF!</v>
      </c>
      <c r="E117" s="697" t="e">
        <f>#REF!</f>
        <v>#REF!</v>
      </c>
      <c r="F117" s="197" t="s">
        <v>242</v>
      </c>
      <c r="G117" s="197">
        <f>AG!F48</f>
        <v>0</v>
      </c>
      <c r="H117" s="197">
        <f>PPKN!F48</f>
        <v>0</v>
      </c>
      <c r="I117" s="197">
        <f>B.ind!F48</f>
        <v>0</v>
      </c>
      <c r="J117" s="197">
        <f>'Mat W'!F48</f>
        <v>0</v>
      </c>
      <c r="K117" s="197">
        <f>Sej!F48</f>
        <v>0</v>
      </c>
      <c r="L117" s="197">
        <f>B.Ing!F48</f>
        <v>0</v>
      </c>
      <c r="M117" s="197">
        <f>Seni!F48</f>
        <v>0</v>
      </c>
      <c r="N117" s="197">
        <f>Jas!F48</f>
        <v>0</v>
      </c>
      <c r="O117" s="197">
        <f>Pra!F48</f>
        <v>0</v>
      </c>
      <c r="P117" s="197">
        <f>'Mat P'!F48</f>
        <v>0</v>
      </c>
      <c r="Q117" s="197">
        <f>Bio!F48</f>
        <v>0</v>
      </c>
      <c r="R117" s="197">
        <f>Fis!F48</f>
        <v>0</v>
      </c>
      <c r="S117" s="197">
        <f>Kim!F48</f>
        <v>0</v>
      </c>
      <c r="T117" s="197">
        <f>'Eko (LM)'!$F$48</f>
        <v>0</v>
      </c>
      <c r="U117" s="197">
        <f>'Lin2'!$F$48</f>
        <v>0</v>
      </c>
      <c r="V117" s="202">
        <f>AVERAGE(G117:U117)</f>
        <v>0</v>
      </c>
      <c r="W117" s="700"/>
      <c r="X117" s="700"/>
      <c r="Y117" s="700"/>
      <c r="Z117" s="168"/>
      <c r="AA117" s="169"/>
      <c r="AF117" s="171"/>
    </row>
    <row r="118" spans="2:32" s="170" customFormat="1" ht="15.95" customHeight="1">
      <c r="B118" s="172"/>
      <c r="C118" s="707"/>
      <c r="D118" s="695" t="e">
        <f>#REF!</f>
        <v>#REF!</v>
      </c>
      <c r="E118" s="698" t="e">
        <f>#REF!</f>
        <v>#REF!</v>
      </c>
      <c r="F118" s="198" t="s">
        <v>40</v>
      </c>
      <c r="G118" s="197">
        <f>AG!G48</f>
        <v>0</v>
      </c>
      <c r="H118" s="197">
        <f>PPKN!G48</f>
        <v>0</v>
      </c>
      <c r="I118" s="197">
        <f>B.ind!G48</f>
        <v>0</v>
      </c>
      <c r="J118" s="197">
        <f>'Mat W'!G48</f>
        <v>0</v>
      </c>
      <c r="K118" s="197">
        <f>Sej!G48</f>
        <v>0</v>
      </c>
      <c r="L118" s="197">
        <f>B.Ing!G48</f>
        <v>0</v>
      </c>
      <c r="M118" s="197">
        <f>Seni!G48</f>
        <v>0</v>
      </c>
      <c r="N118" s="197">
        <f>Jas!G48</f>
        <v>0</v>
      </c>
      <c r="O118" s="197">
        <f>Pra!G48</f>
        <v>0</v>
      </c>
      <c r="P118" s="197">
        <f>'Mat P'!G48</f>
        <v>0</v>
      </c>
      <c r="Q118" s="197">
        <f>Bio!G48</f>
        <v>0</v>
      </c>
      <c r="R118" s="197" t="str">
        <f>Fis!G$15</f>
        <v>B</v>
      </c>
      <c r="S118" s="197">
        <f>Kim!G48</f>
        <v>0</v>
      </c>
      <c r="T118" s="197">
        <f>'Eko (LM)'!$G$48</f>
        <v>0</v>
      </c>
      <c r="U118" s="197">
        <f>'Lin2'!$G$48</f>
        <v>0</v>
      </c>
      <c r="V118" s="200"/>
      <c r="W118" s="701"/>
      <c r="X118" s="701"/>
      <c r="Y118" s="701"/>
      <c r="Z118" s="168"/>
      <c r="AA118" s="169"/>
      <c r="AF118" s="171"/>
    </row>
    <row r="119" spans="2:32" s="170" customFormat="1" ht="15.95" customHeight="1">
      <c r="B119" s="172"/>
      <c r="C119" s="670">
        <v>36</v>
      </c>
      <c r="D119" s="695">
        <f>DataSiswa!B43</f>
        <v>0</v>
      </c>
      <c r="E119" s="696">
        <f>DataSiswa!C43</f>
        <v>0</v>
      </c>
      <c r="F119" s="201" t="s">
        <v>241</v>
      </c>
      <c r="G119" s="201">
        <f>AG!E49</f>
        <v>0</v>
      </c>
      <c r="H119" s="201">
        <f>PPKN!E49</f>
        <v>0</v>
      </c>
      <c r="I119" s="201">
        <f>B.ind!E49</f>
        <v>0</v>
      </c>
      <c r="J119" s="201">
        <f>'Mat W'!E49</f>
        <v>0</v>
      </c>
      <c r="K119" s="201">
        <f>Sej!E49</f>
        <v>0</v>
      </c>
      <c r="L119" s="201">
        <f>B.Ing!E49</f>
        <v>0</v>
      </c>
      <c r="M119" s="201">
        <f>Seni!E49</f>
        <v>0</v>
      </c>
      <c r="N119" s="201">
        <f>Jas!E49</f>
        <v>0</v>
      </c>
      <c r="O119" s="201">
        <f>Pra!E49</f>
        <v>0</v>
      </c>
      <c r="P119" s="201">
        <f>'Mat P'!E49</f>
        <v>0</v>
      </c>
      <c r="Q119" s="201">
        <f>Bio!E49</f>
        <v>0</v>
      </c>
      <c r="R119" s="201">
        <f>Fis!E49</f>
        <v>0</v>
      </c>
      <c r="S119" s="201">
        <f>Kim!E49</f>
        <v>0</v>
      </c>
      <c r="T119" s="201">
        <f>'Eko (LM)'!$E$49</f>
        <v>0</v>
      </c>
      <c r="U119" s="201">
        <f>'Lin2'!$E$49</f>
        <v>0</v>
      </c>
      <c r="V119" s="202">
        <f>AVERAGE(G119:U119)</f>
        <v>0</v>
      </c>
      <c r="W119" s="699">
        <f>Absen!G44</f>
        <v>0</v>
      </c>
      <c r="X119" s="699">
        <f>Absen!H44</f>
        <v>0</v>
      </c>
      <c r="Y119" s="699">
        <f>Absen!I44</f>
        <v>0</v>
      </c>
      <c r="Z119" s="168"/>
      <c r="AA119" s="169">
        <f>AVERAGE(G119:T119)</f>
        <v>0</v>
      </c>
      <c r="AF119" s="171"/>
    </row>
    <row r="120" spans="2:32" s="170" customFormat="1" ht="15.95" customHeight="1">
      <c r="B120" s="172"/>
      <c r="C120" s="694"/>
      <c r="D120" s="695" t="e">
        <f>#REF!</f>
        <v>#REF!</v>
      </c>
      <c r="E120" s="697" t="e">
        <f>#REF!</f>
        <v>#REF!</v>
      </c>
      <c r="F120" s="197" t="s">
        <v>242</v>
      </c>
      <c r="G120" s="197">
        <f>AG!F49</f>
        <v>0</v>
      </c>
      <c r="H120" s="197">
        <f>PPKN!F49</f>
        <v>0</v>
      </c>
      <c r="I120" s="197">
        <f>B.ind!F49</f>
        <v>0</v>
      </c>
      <c r="J120" s="197">
        <f>'Mat W'!F49</f>
        <v>0</v>
      </c>
      <c r="K120" s="197">
        <f>Sej!F49</f>
        <v>0</v>
      </c>
      <c r="L120" s="197">
        <f>B.Ing!F49</f>
        <v>0</v>
      </c>
      <c r="M120" s="197">
        <f>Seni!F49</f>
        <v>0</v>
      </c>
      <c r="N120" s="197">
        <f>Jas!F49</f>
        <v>0</v>
      </c>
      <c r="O120" s="197">
        <f>Pra!F49</f>
        <v>0</v>
      </c>
      <c r="P120" s="197">
        <f>'Mat P'!F49</f>
        <v>0</v>
      </c>
      <c r="Q120" s="197">
        <f>Bio!F49</f>
        <v>0</v>
      </c>
      <c r="R120" s="197">
        <f>Fis!F49</f>
        <v>0</v>
      </c>
      <c r="S120" s="197">
        <f>Kim!F49</f>
        <v>0</v>
      </c>
      <c r="T120" s="197">
        <f>'Eko (LM)'!$F$49</f>
        <v>0</v>
      </c>
      <c r="U120" s="197">
        <f>'Lin2'!$F$49</f>
        <v>0</v>
      </c>
      <c r="V120" s="202">
        <f>AVERAGE(G120:U120)</f>
        <v>0</v>
      </c>
      <c r="W120" s="700"/>
      <c r="X120" s="700"/>
      <c r="Y120" s="700"/>
      <c r="Z120" s="168"/>
      <c r="AA120" s="169"/>
    </row>
    <row r="121" spans="2:32" s="170" customFormat="1" ht="15.95" customHeight="1">
      <c r="B121" s="172"/>
      <c r="C121" s="694"/>
      <c r="D121" s="695" t="e">
        <f>#REF!</f>
        <v>#REF!</v>
      </c>
      <c r="E121" s="698" t="e">
        <f>#REF!</f>
        <v>#REF!</v>
      </c>
      <c r="F121" s="198" t="s">
        <v>40</v>
      </c>
      <c r="G121" s="198">
        <f>AG!G49</f>
        <v>0</v>
      </c>
      <c r="H121" s="198">
        <f>PPKN!G49</f>
        <v>0</v>
      </c>
      <c r="I121" s="198">
        <f>B.ind!G49</f>
        <v>0</v>
      </c>
      <c r="J121" s="198">
        <f>'Mat W'!G49</f>
        <v>0</v>
      </c>
      <c r="K121" s="198">
        <f>Sej!G49</f>
        <v>0</v>
      </c>
      <c r="L121" s="198">
        <f>B.Ing!G49</f>
        <v>0</v>
      </c>
      <c r="M121" s="198">
        <f>Seni!G49</f>
        <v>0</v>
      </c>
      <c r="N121" s="198">
        <f>Jas!G49</f>
        <v>0</v>
      </c>
      <c r="O121" s="198">
        <f>Pra!G49</f>
        <v>0</v>
      </c>
      <c r="P121" s="198">
        <f>'Mat P'!G49</f>
        <v>0</v>
      </c>
      <c r="Q121" s="198">
        <f>Bio!G49</f>
        <v>0</v>
      </c>
      <c r="R121" s="198" t="str">
        <f>Fis!G$15</f>
        <v>B</v>
      </c>
      <c r="S121" s="198">
        <f>Kim!G49</f>
        <v>0</v>
      </c>
      <c r="T121" s="198">
        <f>'Eko (LM)'!$G$49</f>
        <v>0</v>
      </c>
      <c r="U121" s="198">
        <f>'Lin2'!$G$49</f>
        <v>0</v>
      </c>
      <c r="V121" s="200"/>
      <c r="W121" s="701"/>
      <c r="X121" s="701"/>
      <c r="Y121" s="701"/>
      <c r="Z121" s="168"/>
      <c r="AA121" s="169"/>
    </row>
    <row r="122" spans="2:32" s="170" customFormat="1" ht="15" customHeight="1">
      <c r="B122" s="173"/>
      <c r="C122" s="205"/>
      <c r="D122" s="206"/>
      <c r="E122" s="207"/>
      <c r="F122" s="208"/>
      <c r="G122" s="208"/>
      <c r="H122" s="208"/>
      <c r="I122" s="208"/>
      <c r="J122" s="208"/>
      <c r="K122" s="208"/>
      <c r="L122" s="208"/>
      <c r="M122" s="208"/>
      <c r="N122" s="208"/>
      <c r="O122" s="208"/>
      <c r="P122" s="208"/>
      <c r="Q122" s="208"/>
      <c r="R122" s="208"/>
      <c r="S122" s="208"/>
      <c r="T122" s="208"/>
      <c r="U122" s="208"/>
      <c r="V122" s="208"/>
      <c r="W122" s="56"/>
      <c r="X122" s="56"/>
      <c r="Y122" s="56"/>
      <c r="Z122" s="168"/>
      <c r="AA122" s="169"/>
    </row>
    <row r="123" spans="2:32" s="170" customFormat="1" ht="15" customHeight="1">
      <c r="B123" s="173"/>
      <c r="C123" s="205"/>
      <c r="D123" s="206"/>
      <c r="E123" s="207"/>
      <c r="F123" s="208"/>
      <c r="G123" s="208"/>
      <c r="H123" s="208"/>
      <c r="I123" s="208"/>
      <c r="J123" s="208"/>
      <c r="K123" s="208"/>
      <c r="L123" s="208"/>
      <c r="M123" s="208"/>
      <c r="N123" s="208"/>
      <c r="O123" s="208"/>
      <c r="P123" s="208"/>
      <c r="Q123" s="208"/>
      <c r="R123" s="208"/>
      <c r="S123" s="208"/>
      <c r="T123" s="208"/>
      <c r="U123" s="208"/>
      <c r="V123" s="208"/>
      <c r="W123" s="56"/>
      <c r="X123" s="56"/>
      <c r="Y123" s="56"/>
      <c r="Z123" s="168"/>
      <c r="AA123" s="169"/>
    </row>
    <row r="124" spans="2:32" s="170" customFormat="1" ht="15" customHeight="1">
      <c r="B124" s="173"/>
      <c r="C124" s="205"/>
      <c r="D124" s="206"/>
      <c r="E124" s="207"/>
      <c r="F124" s="208"/>
      <c r="G124" s="208"/>
      <c r="H124" s="208"/>
      <c r="I124" s="208"/>
      <c r="J124" s="208"/>
      <c r="K124" s="208"/>
      <c r="L124" s="208"/>
      <c r="M124" s="208"/>
      <c r="N124" s="208"/>
      <c r="O124" s="208"/>
      <c r="P124" s="208"/>
      <c r="Q124" s="208"/>
      <c r="R124" s="208"/>
      <c r="S124" s="208"/>
      <c r="T124" s="208"/>
      <c r="U124" s="208"/>
      <c r="V124" s="208"/>
      <c r="W124" s="56"/>
      <c r="X124" s="56"/>
      <c r="Y124" s="56"/>
      <c r="Z124" s="168"/>
      <c r="AA124" s="169"/>
    </row>
    <row r="125" spans="2:32" s="170" customFormat="1" ht="15" customHeight="1">
      <c r="B125" s="173"/>
      <c r="C125" s="689"/>
      <c r="D125" s="690"/>
      <c r="E125" s="691"/>
      <c r="F125" s="208"/>
      <c r="G125" s="208"/>
      <c r="H125" s="208"/>
      <c r="I125" s="208"/>
      <c r="J125" s="208"/>
      <c r="K125" s="208"/>
      <c r="L125" s="208"/>
      <c r="M125" s="208"/>
      <c r="N125" s="208"/>
      <c r="O125" s="208"/>
      <c r="P125" s="208"/>
      <c r="Q125" s="208"/>
      <c r="R125" s="208"/>
      <c r="S125" s="208"/>
      <c r="T125" s="208"/>
      <c r="U125" s="208"/>
      <c r="V125" s="208"/>
      <c r="W125" s="689"/>
      <c r="X125" s="692"/>
      <c r="Y125" s="692"/>
      <c r="Z125" s="168"/>
      <c r="AA125" s="174"/>
    </row>
    <row r="126" spans="2:32" s="170" customFormat="1" ht="15" customHeight="1">
      <c r="B126" s="173"/>
      <c r="C126" s="693"/>
      <c r="D126" s="690"/>
      <c r="E126" s="691"/>
      <c r="F126" s="208"/>
      <c r="G126" s="208"/>
      <c r="H126" s="208"/>
      <c r="I126" s="208"/>
      <c r="J126" s="208"/>
      <c r="K126" s="208"/>
      <c r="L126" s="208"/>
      <c r="M126" s="209"/>
      <c r="N126" s="209"/>
      <c r="O126" s="208"/>
      <c r="P126" s="208"/>
      <c r="Q126" s="208"/>
      <c r="R126" s="208"/>
      <c r="S126" s="208"/>
      <c r="T126" s="208"/>
      <c r="U126" s="208"/>
      <c r="V126" s="208"/>
      <c r="W126" s="689"/>
      <c r="X126" s="692"/>
      <c r="Y126" s="692"/>
      <c r="Z126" s="168"/>
      <c r="AA126" s="174"/>
    </row>
    <row r="127" spans="2:32" s="170" customFormat="1" ht="15" customHeight="1">
      <c r="B127" s="173"/>
      <c r="C127" s="693"/>
      <c r="D127" s="690"/>
      <c r="E127" s="691"/>
      <c r="F127" s="208"/>
      <c r="G127" s="210"/>
      <c r="H127" s="210"/>
      <c r="I127" s="210"/>
      <c r="J127" s="210"/>
      <c r="K127" s="210"/>
      <c r="L127" s="210"/>
      <c r="M127" s="210"/>
      <c r="N127" s="210"/>
      <c r="O127" s="210"/>
      <c r="P127" s="210"/>
      <c r="Q127" s="210"/>
      <c r="R127" s="210"/>
      <c r="S127" s="210"/>
      <c r="T127" s="210"/>
      <c r="U127" s="210"/>
      <c r="V127" s="210"/>
      <c r="W127" s="689"/>
      <c r="X127" s="692"/>
      <c r="Y127" s="692"/>
      <c r="Z127" s="168"/>
      <c r="AA127" s="174"/>
    </row>
    <row r="128" spans="2:32" s="170" customFormat="1" ht="15" customHeight="1">
      <c r="B128" s="173"/>
      <c r="C128" s="689"/>
      <c r="D128" s="690"/>
      <c r="E128" s="691"/>
      <c r="F128" s="208"/>
      <c r="G128" s="208"/>
      <c r="H128" s="208"/>
      <c r="I128" s="208"/>
      <c r="J128" s="208"/>
      <c r="K128" s="208"/>
      <c r="L128" s="208"/>
      <c r="M128" s="208"/>
      <c r="N128" s="208"/>
      <c r="O128" s="208"/>
      <c r="P128" s="208"/>
      <c r="Q128" s="208"/>
      <c r="R128" s="208"/>
      <c r="S128" s="208"/>
      <c r="T128" s="208"/>
      <c r="U128" s="208"/>
      <c r="V128" s="208"/>
      <c r="W128" s="689"/>
      <c r="X128" s="692"/>
      <c r="Y128" s="692"/>
      <c r="Z128" s="168"/>
      <c r="AA128" s="174"/>
    </row>
    <row r="129" spans="2:27" s="170" customFormat="1" ht="15" customHeight="1">
      <c r="B129" s="173"/>
      <c r="C129" s="689"/>
      <c r="D129" s="690"/>
      <c r="E129" s="691"/>
      <c r="F129" s="208"/>
      <c r="G129" s="208"/>
      <c r="H129" s="208"/>
      <c r="I129" s="208"/>
      <c r="J129" s="208"/>
      <c r="K129" s="208"/>
      <c r="L129" s="208"/>
      <c r="M129" s="209"/>
      <c r="N129" s="209"/>
      <c r="O129" s="208"/>
      <c r="P129" s="208"/>
      <c r="Q129" s="208"/>
      <c r="R129" s="208"/>
      <c r="S129" s="208"/>
      <c r="T129" s="208"/>
      <c r="U129" s="208"/>
      <c r="V129" s="208"/>
      <c r="W129" s="689"/>
      <c r="X129" s="692"/>
      <c r="Y129" s="692"/>
      <c r="Z129" s="168"/>
      <c r="AA129" s="174"/>
    </row>
    <row r="130" spans="2:27" s="170" customFormat="1" ht="15" customHeight="1">
      <c r="B130" s="173"/>
      <c r="C130" s="689"/>
      <c r="D130" s="690"/>
      <c r="E130" s="691"/>
      <c r="F130" s="208"/>
      <c r="G130" s="210"/>
      <c r="H130" s="210"/>
      <c r="I130" s="210"/>
      <c r="J130" s="210"/>
      <c r="K130" s="210"/>
      <c r="L130" s="210"/>
      <c r="M130" s="210"/>
      <c r="N130" s="210"/>
      <c r="O130" s="210"/>
      <c r="P130" s="210"/>
      <c r="Q130" s="210"/>
      <c r="R130" s="210"/>
      <c r="S130" s="210"/>
      <c r="T130" s="210"/>
      <c r="U130" s="210"/>
      <c r="V130" s="210"/>
      <c r="W130" s="689"/>
      <c r="X130" s="692"/>
      <c r="Y130" s="692"/>
      <c r="Z130" s="168"/>
      <c r="AA130" s="174"/>
    </row>
    <row r="131" spans="2:27" s="165" customFormat="1" ht="16.5" customHeight="1">
      <c r="B131" s="175"/>
      <c r="C131" s="176"/>
      <c r="D131" s="177"/>
      <c r="E131" s="178"/>
      <c r="F131" s="179"/>
      <c r="G131" s="180"/>
      <c r="H131" s="180"/>
      <c r="I131" s="180"/>
      <c r="J131" s="180"/>
      <c r="K131" s="180"/>
      <c r="L131" s="180"/>
      <c r="M131" s="180"/>
      <c r="N131" s="181"/>
      <c r="O131" s="180"/>
      <c r="P131" s="180"/>
      <c r="Q131" s="180"/>
      <c r="R131" s="180"/>
      <c r="S131" s="180"/>
      <c r="T131" s="180"/>
      <c r="U131" s="180"/>
      <c r="V131" s="164"/>
      <c r="W131" s="176"/>
      <c r="X131" s="173"/>
      <c r="Y131" s="173"/>
      <c r="Z131" s="164"/>
    </row>
    <row r="132" spans="2:27" s="165" customFormat="1" ht="15">
      <c r="B132" s="182"/>
    </row>
    <row r="133" spans="2:27" s="165" customFormat="1" ht="15">
      <c r="B133" s="182"/>
    </row>
    <row r="134" spans="2:27" s="165" customFormat="1" ht="15">
      <c r="B134" s="182"/>
    </row>
    <row r="135" spans="2:27" s="165" customFormat="1" ht="15">
      <c r="B135" s="182"/>
    </row>
    <row r="136" spans="2:27" s="165" customFormat="1" ht="15">
      <c r="B136" s="182"/>
    </row>
    <row r="137" spans="2:27" s="165" customFormat="1" ht="15">
      <c r="B137" s="182"/>
    </row>
    <row r="138" spans="2:27" s="165" customFormat="1" ht="15">
      <c r="B138" s="182"/>
    </row>
  </sheetData>
  <protectedRanges>
    <protectedRange password="DD40" sqref="W14:Y15 W16 W38:Y38 W17:Y17 W20:Y20 W23:Y23 W26:Y26 W29:Y29 W32:Y32 W35:Y35 W41:Y41 W44:Y44 W47:Y47 W50:Y50 W53:Y53 W56:Y56 W59:Y59 W62:Y62 W65:Y65 W74:Y74 W71:Y71 W68:Y68 W77:Y77 W80:Y80 W119:Y119 W116:Y116 W113:Y113 W110:Y110 W107:Y107 W104:Y104 W101:Y101 W98:Y98 W95:Y95 W92:Y92 W89:Y89 W86:Y86 W83:Y83" name="Range1_1"/>
  </protectedRanges>
  <mergeCells count="234">
    <mergeCell ref="AC5:AD7"/>
    <mergeCell ref="G11:V11"/>
    <mergeCell ref="W11:Y11"/>
    <mergeCell ref="X29:X31"/>
    <mergeCell ref="Y29:Y31"/>
    <mergeCell ref="E11:E13"/>
    <mergeCell ref="W26:W28"/>
    <mergeCell ref="X26:X28"/>
    <mergeCell ref="Y26:Y28"/>
    <mergeCell ref="D11:D13"/>
    <mergeCell ref="C11:C13"/>
    <mergeCell ref="C14:C16"/>
    <mergeCell ref="D14:D16"/>
    <mergeCell ref="E14:E16"/>
    <mergeCell ref="E20:E22"/>
    <mergeCell ref="C17:C19"/>
    <mergeCell ref="D17:D19"/>
    <mergeCell ref="E17:E19"/>
    <mergeCell ref="C26:C28"/>
    <mergeCell ref="D26:D28"/>
    <mergeCell ref="E26:E28"/>
    <mergeCell ref="W14:W16"/>
    <mergeCell ref="X14:X16"/>
    <mergeCell ref="Y14:Y16"/>
    <mergeCell ref="W17:W19"/>
    <mergeCell ref="X17:X19"/>
    <mergeCell ref="Y17:Y19"/>
    <mergeCell ref="W20:W22"/>
    <mergeCell ref="C23:C25"/>
    <mergeCell ref="D23:D25"/>
    <mergeCell ref="E23:E25"/>
    <mergeCell ref="X20:X22"/>
    <mergeCell ref="Y20:Y22"/>
    <mergeCell ref="W23:W25"/>
    <mergeCell ref="X23:X25"/>
    <mergeCell ref="Y23:Y25"/>
    <mergeCell ref="C20:C22"/>
    <mergeCell ref="D20:D22"/>
    <mergeCell ref="C29:C31"/>
    <mergeCell ref="D29:D31"/>
    <mergeCell ref="E29:E31"/>
    <mergeCell ref="X98:X100"/>
    <mergeCell ref="Y98:Y100"/>
    <mergeCell ref="X95:X97"/>
    <mergeCell ref="Y95:Y97"/>
    <mergeCell ref="X92:X94"/>
    <mergeCell ref="Y92:Y94"/>
    <mergeCell ref="W29:W31"/>
    <mergeCell ref="C32:C34"/>
    <mergeCell ref="D32:D34"/>
    <mergeCell ref="E32:E34"/>
    <mergeCell ref="C38:C40"/>
    <mergeCell ref="D38:D40"/>
    <mergeCell ref="E38:E40"/>
    <mergeCell ref="C41:C43"/>
    <mergeCell ref="D41:D43"/>
    <mergeCell ref="E41:E43"/>
    <mergeCell ref="C47:C49"/>
    <mergeCell ref="D47:D49"/>
    <mergeCell ref="E47:E49"/>
    <mergeCell ref="C50:C52"/>
    <mergeCell ref="D50:D52"/>
    <mergeCell ref="C35:C37"/>
    <mergeCell ref="D35:D37"/>
    <mergeCell ref="E35:E37"/>
    <mergeCell ref="W113:W115"/>
    <mergeCell ref="W116:W118"/>
    <mergeCell ref="X116:X118"/>
    <mergeCell ref="X113:X115"/>
    <mergeCell ref="X110:X112"/>
    <mergeCell ref="X107:X109"/>
    <mergeCell ref="X104:X106"/>
    <mergeCell ref="C44:C46"/>
    <mergeCell ref="D44:D46"/>
    <mergeCell ref="E44:E46"/>
    <mergeCell ref="D98:D100"/>
    <mergeCell ref="D95:D97"/>
    <mergeCell ref="C53:C55"/>
    <mergeCell ref="D53:D55"/>
    <mergeCell ref="W98:W100"/>
    <mergeCell ref="W101:W103"/>
    <mergeCell ref="W92:W94"/>
    <mergeCell ref="W104:W106"/>
    <mergeCell ref="W107:W109"/>
    <mergeCell ref="W110:W112"/>
    <mergeCell ref="W95:W97"/>
    <mergeCell ref="Y116:Y118"/>
    <mergeCell ref="Y113:Y115"/>
    <mergeCell ref="Y110:Y112"/>
    <mergeCell ref="Y107:Y109"/>
    <mergeCell ref="Y104:Y106"/>
    <mergeCell ref="X101:X103"/>
    <mergeCell ref="Y101:Y103"/>
    <mergeCell ref="E50:E52"/>
    <mergeCell ref="E95:E97"/>
    <mergeCell ref="E98:E100"/>
    <mergeCell ref="E101:E103"/>
    <mergeCell ref="Y86:Y88"/>
    <mergeCell ref="W86:W88"/>
    <mergeCell ref="W77:W79"/>
    <mergeCell ref="X77:X79"/>
    <mergeCell ref="Y77:Y79"/>
    <mergeCell ref="W74:W76"/>
    <mergeCell ref="X74:X76"/>
    <mergeCell ref="Y74:Y76"/>
    <mergeCell ref="X80:X82"/>
    <mergeCell ref="Y80:Y82"/>
    <mergeCell ref="W65:W67"/>
    <mergeCell ref="X65:X67"/>
    <mergeCell ref="Y65:Y67"/>
    <mergeCell ref="D101:D103"/>
    <mergeCell ref="E113:E115"/>
    <mergeCell ref="E116:E118"/>
    <mergeCell ref="D113:D115"/>
    <mergeCell ref="D116:D118"/>
    <mergeCell ref="E53:E55"/>
    <mergeCell ref="E56:E58"/>
    <mergeCell ref="E65:E67"/>
    <mergeCell ref="E104:E106"/>
    <mergeCell ref="E107:E109"/>
    <mergeCell ref="E110:E112"/>
    <mergeCell ref="E71:E73"/>
    <mergeCell ref="E74:E76"/>
    <mergeCell ref="E77:E79"/>
    <mergeCell ref="E83:E85"/>
    <mergeCell ref="E80:E82"/>
    <mergeCell ref="C98:C100"/>
    <mergeCell ref="C116:C118"/>
    <mergeCell ref="C101:C103"/>
    <mergeCell ref="C104:C106"/>
    <mergeCell ref="C110:C112"/>
    <mergeCell ref="C113:C115"/>
    <mergeCell ref="C107:C109"/>
    <mergeCell ref="C56:C58"/>
    <mergeCell ref="D56:D58"/>
    <mergeCell ref="D110:D112"/>
    <mergeCell ref="D107:D109"/>
    <mergeCell ref="D104:D106"/>
    <mergeCell ref="C65:C67"/>
    <mergeCell ref="D65:D67"/>
    <mergeCell ref="C71:C73"/>
    <mergeCell ref="D71:D73"/>
    <mergeCell ref="C74:C76"/>
    <mergeCell ref="D74:D76"/>
    <mergeCell ref="C77:C79"/>
    <mergeCell ref="D77:D79"/>
    <mergeCell ref="C83:C85"/>
    <mergeCell ref="D83:D85"/>
    <mergeCell ref="C80:C82"/>
    <mergeCell ref="D80:D82"/>
    <mergeCell ref="W119:W121"/>
    <mergeCell ref="X119:X121"/>
    <mergeCell ref="Y119:Y121"/>
    <mergeCell ref="C92:C94"/>
    <mergeCell ref="D92:D94"/>
    <mergeCell ref="E92:E94"/>
    <mergeCell ref="C95:C97"/>
    <mergeCell ref="C59:C61"/>
    <mergeCell ref="D59:D61"/>
    <mergeCell ref="W83:W85"/>
    <mergeCell ref="X83:X85"/>
    <mergeCell ref="Y83:Y85"/>
    <mergeCell ref="C68:C70"/>
    <mergeCell ref="D68:D70"/>
    <mergeCell ref="E68:E70"/>
    <mergeCell ref="W80:W82"/>
    <mergeCell ref="E59:E61"/>
    <mergeCell ref="W89:W91"/>
    <mergeCell ref="X89:X91"/>
    <mergeCell ref="Y89:Y91"/>
    <mergeCell ref="C62:C64"/>
    <mergeCell ref="D62:D64"/>
    <mergeCell ref="E62:E64"/>
    <mergeCell ref="X86:X88"/>
    <mergeCell ref="W68:W70"/>
    <mergeCell ref="X68:X70"/>
    <mergeCell ref="Y68:Y70"/>
    <mergeCell ref="W71:W73"/>
    <mergeCell ref="X71:X73"/>
    <mergeCell ref="Y71:Y73"/>
    <mergeCell ref="W47:W49"/>
    <mergeCell ref="X47:X49"/>
    <mergeCell ref="Y47:Y49"/>
    <mergeCell ref="W50:W52"/>
    <mergeCell ref="X50:X52"/>
    <mergeCell ref="Y50:Y52"/>
    <mergeCell ref="W53:W55"/>
    <mergeCell ref="X53:X55"/>
    <mergeCell ref="Y53:Y55"/>
    <mergeCell ref="W56:W58"/>
    <mergeCell ref="X56:X58"/>
    <mergeCell ref="Y56:Y58"/>
    <mergeCell ref="W59:W61"/>
    <mergeCell ref="X59:X61"/>
    <mergeCell ref="Y59:Y61"/>
    <mergeCell ref="W62:W64"/>
    <mergeCell ref="X62:X64"/>
    <mergeCell ref="Y62:Y64"/>
    <mergeCell ref="C119:C121"/>
    <mergeCell ref="D119:D121"/>
    <mergeCell ref="E119:E121"/>
    <mergeCell ref="W32:W34"/>
    <mergeCell ref="X32:X34"/>
    <mergeCell ref="Y32:Y34"/>
    <mergeCell ref="W35:W37"/>
    <mergeCell ref="X35:X37"/>
    <mergeCell ref="Y35:Y37"/>
    <mergeCell ref="W38:W40"/>
    <mergeCell ref="C89:C91"/>
    <mergeCell ref="D89:D91"/>
    <mergeCell ref="E89:E91"/>
    <mergeCell ref="X38:X40"/>
    <mergeCell ref="Y38:Y40"/>
    <mergeCell ref="W41:W43"/>
    <mergeCell ref="X41:X43"/>
    <mergeCell ref="Y41:Y43"/>
    <mergeCell ref="W44:W46"/>
    <mergeCell ref="X44:X46"/>
    <mergeCell ref="C86:C88"/>
    <mergeCell ref="D86:D88"/>
    <mergeCell ref="E86:E88"/>
    <mergeCell ref="Y44:Y46"/>
    <mergeCell ref="C128:C130"/>
    <mergeCell ref="D128:D130"/>
    <mergeCell ref="E128:E130"/>
    <mergeCell ref="W128:W130"/>
    <mergeCell ref="X128:X130"/>
    <mergeCell ref="Y128:Y130"/>
    <mergeCell ref="C125:C127"/>
    <mergeCell ref="D125:D127"/>
    <mergeCell ref="E125:E127"/>
    <mergeCell ref="W125:W127"/>
    <mergeCell ref="X125:X127"/>
    <mergeCell ref="Y125:Y127"/>
  </mergeCells>
  <hyperlinks>
    <hyperlink ref="AC5:AD7" location="UTAMA!A1" display="MENU"/>
  </hyperlinks>
  <pageMargins left="0.48" right="0.24" top="0.75" bottom="0.54" header="0.25" footer="0.25"/>
  <pageSetup paperSize="9" scale="80" fitToWidth="0" orientation="portrait" horizontalDpi="4294967293" verticalDpi="4294967293"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B050"/>
  </sheetPr>
  <dimension ref="B3:K48"/>
  <sheetViews>
    <sheetView showGridLines="0" topLeftCell="A2" workbookViewId="0">
      <selection activeCell="F35" sqref="F35"/>
    </sheetView>
  </sheetViews>
  <sheetFormatPr defaultRowHeight="15"/>
  <cols>
    <col min="1" max="1" width="9.140625" style="115"/>
    <col min="2" max="2" width="3" style="115" customWidth="1"/>
    <col min="3" max="3" width="9.140625" style="115"/>
    <col min="4" max="4" width="12.5703125" style="115" customWidth="1"/>
    <col min="5" max="5" width="32.42578125" style="115" customWidth="1"/>
    <col min="6" max="6" width="18" style="115" customWidth="1"/>
    <col min="7" max="7" width="10.42578125" style="115" customWidth="1"/>
    <col min="8" max="8" width="2.5703125" style="115" customWidth="1"/>
    <col min="9" max="10" width="9.140625" style="115"/>
    <col min="11" max="11" width="9.7109375" style="115" customWidth="1"/>
    <col min="12" max="16384" width="9.140625" style="115"/>
  </cols>
  <sheetData>
    <row r="3" spans="2:11">
      <c r="B3" s="114"/>
      <c r="C3" s="114"/>
      <c r="D3" s="114"/>
      <c r="E3" s="114"/>
      <c r="F3" s="114"/>
      <c r="G3" s="114"/>
      <c r="H3" s="114"/>
    </row>
    <row r="4" spans="2:11" ht="15.75">
      <c r="B4" s="114"/>
      <c r="C4" s="729" t="s">
        <v>50</v>
      </c>
      <c r="D4" s="729"/>
      <c r="E4" s="729"/>
      <c r="F4" s="729"/>
      <c r="G4" s="729"/>
      <c r="H4" s="114"/>
    </row>
    <row r="5" spans="2:11" ht="16.5" thickBot="1">
      <c r="B5" s="114"/>
      <c r="C5" s="729"/>
      <c r="D5" s="729"/>
      <c r="E5" s="729"/>
      <c r="F5" s="729"/>
      <c r="G5" s="729"/>
      <c r="H5" s="114"/>
    </row>
    <row r="6" spans="2:11" ht="15.75" thickTop="1">
      <c r="B6" s="114"/>
      <c r="C6" s="369"/>
      <c r="D6" s="369"/>
      <c r="E6" s="369"/>
      <c r="F6" s="369"/>
      <c r="G6" s="369"/>
      <c r="H6" s="114"/>
      <c r="K6" s="726" t="s">
        <v>243</v>
      </c>
    </row>
    <row r="7" spans="2:11" ht="15.75" customHeight="1">
      <c r="B7" s="114"/>
      <c r="C7" s="730" t="s">
        <v>22</v>
      </c>
      <c r="D7" s="730" t="s">
        <v>20</v>
      </c>
      <c r="E7" s="730" t="s">
        <v>37</v>
      </c>
      <c r="F7" s="732" t="s">
        <v>51</v>
      </c>
      <c r="G7" s="732" t="s">
        <v>52</v>
      </c>
      <c r="H7" s="114"/>
      <c r="K7" s="727"/>
    </row>
    <row r="8" spans="2:11" ht="15.75" thickBot="1">
      <c r="B8" s="114"/>
      <c r="C8" s="731"/>
      <c r="D8" s="731"/>
      <c r="E8" s="731"/>
      <c r="F8" s="732"/>
      <c r="G8" s="732"/>
      <c r="H8" s="114"/>
      <c r="K8" s="728"/>
    </row>
    <row r="9" spans="2:11" ht="15" customHeight="1" thickTop="1">
      <c r="B9" s="159">
        <v>1</v>
      </c>
      <c r="C9" s="131" t="str">
        <f>IF(DataSiswa!A8="",""," "&amp;DataSiswa!A8)</f>
        <v xml:space="preserve"> 1</v>
      </c>
      <c r="D9" s="131" t="str">
        <f>IF(DataSiswa!B8="",""," "&amp;DataSiswa!B8)</f>
        <v xml:space="preserve"> 9986980442</v>
      </c>
      <c r="E9" s="116" t="str">
        <f>IF(DataSiswa!C8="",""," "&amp;DataSiswa!C8)</f>
        <v xml:space="preserve"> Aditya Taufik Sastra</v>
      </c>
      <c r="F9" s="117">
        <f>LEGER!$V$14</f>
        <v>80.666666666666671</v>
      </c>
      <c r="G9" s="372">
        <f>RANK(F9,$F$9:$F$37)</f>
        <v>12</v>
      </c>
      <c r="H9" s="114"/>
    </row>
    <row r="10" spans="2:11" ht="15" customHeight="1">
      <c r="B10" s="159">
        <v>2</v>
      </c>
      <c r="C10" s="131" t="str">
        <f>IF(DataSiswa!A9="",""," "&amp;DataSiswa!A9)</f>
        <v xml:space="preserve"> 2</v>
      </c>
      <c r="D10" s="131" t="str">
        <f>IF(DataSiswa!B9="",""," "&amp;DataSiswa!B9)</f>
        <v xml:space="preserve"> 9982907972</v>
      </c>
      <c r="E10" s="116" t="str">
        <f>IF(DataSiswa!C9="",""," "&amp;DataSiswa!C9)</f>
        <v xml:space="preserve"> Angger Ghufron Pangestu</v>
      </c>
      <c r="F10" s="117">
        <f>LEGER!$V$17</f>
        <v>79.333333333333329</v>
      </c>
      <c r="G10" s="118">
        <f t="shared" ref="G10:G47" si="0">RANK(F10,$F$9:$F$46)</f>
        <v>29</v>
      </c>
      <c r="H10" s="114"/>
    </row>
    <row r="11" spans="2:11" ht="15" customHeight="1">
      <c r="B11" s="159">
        <v>3</v>
      </c>
      <c r="C11" s="131" t="str">
        <f>IF(DataSiswa!A10="",""," "&amp;DataSiswa!A10)</f>
        <v xml:space="preserve"> 3</v>
      </c>
      <c r="D11" s="131" t="str">
        <f>IF(DataSiswa!B10="",""," "&amp;DataSiswa!B10)</f>
        <v xml:space="preserve"> 9983601594</v>
      </c>
      <c r="E11" s="116" t="str">
        <f>IF(DataSiswa!C10="",""," "&amp;DataSiswa!C10)</f>
        <v xml:space="preserve"> Anjellia Novia Safitri</v>
      </c>
      <c r="F11" s="117">
        <f>LEGER!$V$20</f>
        <v>80.2</v>
      </c>
      <c r="G11" s="118">
        <f t="shared" si="0"/>
        <v>21</v>
      </c>
      <c r="H11" s="114"/>
    </row>
    <row r="12" spans="2:11" ht="15" customHeight="1">
      <c r="B12" s="159">
        <v>4</v>
      </c>
      <c r="C12" s="131" t="str">
        <f>IF(DataSiswa!A11="",""," "&amp;DataSiswa!A11)</f>
        <v xml:space="preserve"> 4</v>
      </c>
      <c r="D12" s="131" t="str">
        <f>IF(DataSiswa!B11="",""," "&amp;DataSiswa!B11)</f>
        <v xml:space="preserve"> 9989091797</v>
      </c>
      <c r="E12" s="116" t="str">
        <f>IF(DataSiswa!C11="",""," "&amp;DataSiswa!C11)</f>
        <v xml:space="preserve"> Azis Fahrozi</v>
      </c>
      <c r="F12" s="117">
        <f>LEGER!$V$23</f>
        <v>78.733333333333334</v>
      </c>
      <c r="G12" s="118">
        <f t="shared" si="0"/>
        <v>30</v>
      </c>
      <c r="H12" s="114"/>
    </row>
    <row r="13" spans="2:11" ht="15" customHeight="1">
      <c r="B13" s="159">
        <v>5</v>
      </c>
      <c r="C13" s="131" t="str">
        <f>IF(DataSiswa!A12="",""," "&amp;DataSiswa!A12)</f>
        <v xml:space="preserve"> 5</v>
      </c>
      <c r="D13" s="131" t="str">
        <f>IF(DataSiswa!B12="",""," "&amp;DataSiswa!B12)</f>
        <v xml:space="preserve"> 9989983501</v>
      </c>
      <c r="E13" s="116" t="str">
        <f>IF(DataSiswa!C12="",""," "&amp;DataSiswa!C12)</f>
        <v xml:space="preserve"> Berliana Monica</v>
      </c>
      <c r="F13" s="117">
        <f>LEGER!$V$26</f>
        <v>80.666666666666671</v>
      </c>
      <c r="G13" s="118">
        <f t="shared" si="0"/>
        <v>13</v>
      </c>
      <c r="H13" s="114"/>
    </row>
    <row r="14" spans="2:11" ht="15" customHeight="1">
      <c r="B14" s="159">
        <v>6</v>
      </c>
      <c r="C14" s="131" t="str">
        <f>IF(DataSiswa!A13="",""," "&amp;DataSiswa!A13)</f>
        <v xml:space="preserve"> 6</v>
      </c>
      <c r="D14" s="131" t="str">
        <f>IF(DataSiswa!B13="",""," "&amp;DataSiswa!B13)</f>
        <v xml:space="preserve"> 9970817548</v>
      </c>
      <c r="E14" s="116" t="str">
        <f>IF(DataSiswa!C13="",""," "&amp;DataSiswa!C13)</f>
        <v xml:space="preserve"> Defri Nofriadi</v>
      </c>
      <c r="F14" s="117">
        <f>LEGER!$V$29</f>
        <v>81.333333333333329</v>
      </c>
      <c r="G14" s="118">
        <f t="shared" si="0"/>
        <v>9</v>
      </c>
      <c r="H14" s="114"/>
    </row>
    <row r="15" spans="2:11" ht="15" customHeight="1">
      <c r="B15" s="159">
        <v>7</v>
      </c>
      <c r="C15" s="131" t="str">
        <f>IF(DataSiswa!A14="",""," "&amp;DataSiswa!A14)</f>
        <v xml:space="preserve"> 7</v>
      </c>
      <c r="D15" s="131" t="str">
        <f>IF(DataSiswa!B14="",""," "&amp;DataSiswa!B14)</f>
        <v xml:space="preserve"> 9980817555</v>
      </c>
      <c r="E15" s="116" t="str">
        <f>IF(DataSiswa!C14="",""," "&amp;DataSiswa!C14)</f>
        <v xml:space="preserve"> Dina Mardana Dulas</v>
      </c>
      <c r="F15" s="117">
        <f>LEGER!$V$32</f>
        <v>79.599999999999994</v>
      </c>
      <c r="G15" s="118">
        <f t="shared" si="0"/>
        <v>26</v>
      </c>
      <c r="H15" s="114"/>
    </row>
    <row r="16" spans="2:11" ht="15" customHeight="1">
      <c r="B16" s="159">
        <v>8</v>
      </c>
      <c r="C16" s="131" t="str">
        <f>IF(DataSiswa!A15="",""," "&amp;DataSiswa!A15)</f>
        <v xml:space="preserve"> 8</v>
      </c>
      <c r="D16" s="131" t="str">
        <f>IF(DataSiswa!B15="",""," "&amp;DataSiswa!B15)</f>
        <v xml:space="preserve"> 9980817812</v>
      </c>
      <c r="E16" s="116" t="str">
        <f>IF(DataSiswa!C15="",""," "&amp;DataSiswa!C15)</f>
        <v xml:space="preserve"> Famella Putriadi</v>
      </c>
      <c r="F16" s="117">
        <f>LEGER!$V$35</f>
        <v>80.066666666666663</v>
      </c>
      <c r="G16" s="118">
        <f t="shared" si="0"/>
        <v>22</v>
      </c>
      <c r="H16" s="114"/>
    </row>
    <row r="17" spans="2:8" ht="15" customHeight="1">
      <c r="B17" s="159">
        <v>9</v>
      </c>
      <c r="C17" s="131" t="str">
        <f>IF(DataSiswa!A16="",""," "&amp;DataSiswa!A16)</f>
        <v xml:space="preserve"> 9</v>
      </c>
      <c r="D17" s="131" t="str">
        <f>IF(DataSiswa!B16="",""," "&amp;DataSiswa!B16)</f>
        <v xml:space="preserve"> 9986349049</v>
      </c>
      <c r="E17" s="116" t="str">
        <f>IF(DataSiswa!C16="",""," "&amp;DataSiswa!C16)</f>
        <v xml:space="preserve"> Febrawati Fajlynd</v>
      </c>
      <c r="F17" s="117">
        <f>LEGER!$V$38</f>
        <v>80.599999999999994</v>
      </c>
      <c r="G17" s="118">
        <f t="shared" si="0"/>
        <v>15</v>
      </c>
      <c r="H17" s="114"/>
    </row>
    <row r="18" spans="2:8" ht="15" customHeight="1">
      <c r="B18" s="159">
        <v>10</v>
      </c>
      <c r="C18" s="131" t="str">
        <f>IF(DataSiswa!A17="",""," "&amp;DataSiswa!A17)</f>
        <v xml:space="preserve"> 10</v>
      </c>
      <c r="D18" s="131" t="str">
        <f>IF(DataSiswa!B17="",""," "&amp;DataSiswa!B17)</f>
        <v xml:space="preserve"> 9980673410</v>
      </c>
      <c r="E18" s="116" t="str">
        <f>IF(DataSiswa!C17="",""," "&amp;DataSiswa!C17)</f>
        <v xml:space="preserve"> Fierro Perdana Ibrahim</v>
      </c>
      <c r="F18" s="117">
        <f>LEGER!$V$41</f>
        <v>78.733333333333334</v>
      </c>
      <c r="G18" s="118">
        <f t="shared" si="0"/>
        <v>30</v>
      </c>
      <c r="H18" s="114"/>
    </row>
    <row r="19" spans="2:8" ht="15" customHeight="1">
      <c r="B19" s="159">
        <v>11</v>
      </c>
      <c r="C19" s="131" t="str">
        <f>IF(DataSiswa!A18="",""," "&amp;DataSiswa!A18)</f>
        <v xml:space="preserve"> 11</v>
      </c>
      <c r="D19" s="131" t="str">
        <f>IF(DataSiswa!B18="",""," "&amp;DataSiswa!B18)</f>
        <v xml:space="preserve"> 9980817833</v>
      </c>
      <c r="E19" s="116" t="str">
        <f>IF(DataSiswa!C18="",""," "&amp;DataSiswa!C18)</f>
        <v xml:space="preserve"> Jihan Salsabilla</v>
      </c>
      <c r="F19" s="117">
        <f>LEGER!$V$44</f>
        <v>81.533333333333331</v>
      </c>
      <c r="G19" s="118">
        <f t="shared" si="0"/>
        <v>7</v>
      </c>
      <c r="H19" s="114"/>
    </row>
    <row r="20" spans="2:8" ht="15" customHeight="1">
      <c r="B20" s="159">
        <v>12</v>
      </c>
      <c r="C20" s="131" t="str">
        <f>IF(DataSiswa!A19="",""," "&amp;DataSiswa!A19)</f>
        <v xml:space="preserve"> 12</v>
      </c>
      <c r="D20" s="131" t="str">
        <f>IF(DataSiswa!B19="",""," "&amp;DataSiswa!B19)</f>
        <v xml:space="preserve"> 9980065874</v>
      </c>
      <c r="E20" s="116" t="str">
        <f>IF(DataSiswa!C19="",""," "&amp;DataSiswa!C19)</f>
        <v xml:space="preserve"> Karina Safira Rannas</v>
      </c>
      <c r="F20" s="117">
        <f>LEGER!$V$47</f>
        <v>79.86666666666666</v>
      </c>
      <c r="G20" s="118">
        <f t="shared" si="0"/>
        <v>24</v>
      </c>
      <c r="H20" s="114"/>
    </row>
    <row r="21" spans="2:8" ht="15" customHeight="1">
      <c r="B21" s="159">
        <v>13</v>
      </c>
      <c r="C21" s="131" t="str">
        <f>IF(DataSiswa!A20="",""," "&amp;DataSiswa!A20)</f>
        <v xml:space="preserve"> 13</v>
      </c>
      <c r="D21" s="131" t="str">
        <f>IF(DataSiswa!B20="",""," "&amp;DataSiswa!B20)</f>
        <v xml:space="preserve"> 9970816998</v>
      </c>
      <c r="E21" s="116" t="str">
        <f>IF(DataSiswa!C20="",""," "&amp;DataSiswa!C20)</f>
        <v xml:space="preserve"> Loura Oktaviola</v>
      </c>
      <c r="F21" s="117">
        <f>LEGER!$V$50</f>
        <v>80.599999999999994</v>
      </c>
      <c r="G21" s="118">
        <f t="shared" si="0"/>
        <v>15</v>
      </c>
      <c r="H21" s="114"/>
    </row>
    <row r="22" spans="2:8" ht="15" customHeight="1">
      <c r="B22" s="159">
        <v>14</v>
      </c>
      <c r="C22" s="131" t="str">
        <f>IF(DataSiswa!A21="",""," "&amp;DataSiswa!A21)</f>
        <v xml:space="preserve"> 14</v>
      </c>
      <c r="D22" s="131" t="str">
        <f>IF(DataSiswa!B21="",""," "&amp;DataSiswa!B21)</f>
        <v xml:space="preserve"> 9982095456</v>
      </c>
      <c r="E22" s="116" t="str">
        <f>IF(DataSiswa!C21="",""," "&amp;DataSiswa!C21)</f>
        <v xml:space="preserve"> Lauren Dwina Arini</v>
      </c>
      <c r="F22" s="117">
        <f>LEGER!$V$53</f>
        <v>79.599999999999994</v>
      </c>
      <c r="G22" s="118">
        <f t="shared" si="0"/>
        <v>26</v>
      </c>
      <c r="H22" s="114"/>
    </row>
    <row r="23" spans="2:8" ht="15" customHeight="1">
      <c r="B23" s="159">
        <v>15</v>
      </c>
      <c r="C23" s="131" t="str">
        <f>IF(DataSiswa!A22="",""," "&amp;DataSiswa!A22)</f>
        <v xml:space="preserve"> 15</v>
      </c>
      <c r="D23" s="131" t="str">
        <f>IF(DataSiswa!B22="",""," "&amp;DataSiswa!B22)</f>
        <v xml:space="preserve"> 9980817839</v>
      </c>
      <c r="E23" s="116" t="str">
        <f>IF(DataSiswa!C22="",""," "&amp;DataSiswa!C22)</f>
        <v xml:space="preserve"> Leoni Syagna Velia</v>
      </c>
      <c r="F23" s="117">
        <f>LEGER!$V$56</f>
        <v>82.2</v>
      </c>
      <c r="G23" s="118">
        <f t="shared" si="0"/>
        <v>3</v>
      </c>
      <c r="H23" s="114"/>
    </row>
    <row r="24" spans="2:8" ht="15" customHeight="1">
      <c r="B24" s="159">
        <v>16</v>
      </c>
      <c r="C24" s="131" t="str">
        <f>IF(DataSiswa!A23="",""," "&amp;DataSiswa!A23)</f>
        <v xml:space="preserve"> 16</v>
      </c>
      <c r="D24" s="131" t="str">
        <f>IF(DataSiswa!B23="",""," "&amp;DataSiswa!B23)</f>
        <v xml:space="preserve"> 9982885002</v>
      </c>
      <c r="E24" s="116" t="str">
        <f>IF(DataSiswa!C23="",""," "&amp;DataSiswa!C23)</f>
        <v xml:space="preserve"> Mia Larisa Waskito</v>
      </c>
      <c r="F24" s="117">
        <f>LEGER!$V$59</f>
        <v>82.2</v>
      </c>
      <c r="G24" s="118">
        <f t="shared" si="0"/>
        <v>3</v>
      </c>
      <c r="H24" s="114"/>
    </row>
    <row r="25" spans="2:8" ht="15" customHeight="1">
      <c r="B25" s="159">
        <v>17</v>
      </c>
      <c r="C25" s="131" t="str">
        <f>IF(DataSiswa!A24="",""," "&amp;DataSiswa!A24)</f>
        <v xml:space="preserve"> 17</v>
      </c>
      <c r="D25" s="131" t="str">
        <f>IF(DataSiswa!B24="",""," "&amp;DataSiswa!B24)</f>
        <v xml:space="preserve"> 9983996707</v>
      </c>
      <c r="E25" s="116" t="str">
        <f>IF(DataSiswa!C24="",""," "&amp;DataSiswa!C24)</f>
        <v xml:space="preserve"> Muhammad Fadel</v>
      </c>
      <c r="F25" s="117">
        <f>LEGER!$V$62</f>
        <v>82.933333333333337</v>
      </c>
      <c r="G25" s="118">
        <f t="shared" si="0"/>
        <v>2</v>
      </c>
      <c r="H25" s="114"/>
    </row>
    <row r="26" spans="2:8" ht="15" customHeight="1">
      <c r="B26" s="159">
        <v>18</v>
      </c>
      <c r="C26" s="131" t="str">
        <f>IF(DataSiswa!A25="",""," "&amp;DataSiswa!A25)</f>
        <v xml:space="preserve"> 18</v>
      </c>
      <c r="D26" s="131" t="str">
        <f>IF(DataSiswa!B25="",""," "&amp;DataSiswa!B25)</f>
        <v xml:space="preserve"> 9981328630</v>
      </c>
      <c r="E26" s="116" t="str">
        <f>IF(DataSiswa!C25="",""," "&amp;DataSiswa!C25)</f>
        <v xml:space="preserve"> Muhammad Ilham Fajri</v>
      </c>
      <c r="F26" s="117">
        <f>LEGER!$V$65</f>
        <v>80.533333333333331</v>
      </c>
      <c r="G26" s="118">
        <f t="shared" si="0"/>
        <v>17</v>
      </c>
      <c r="H26" s="114"/>
    </row>
    <row r="27" spans="2:8" ht="15" customHeight="1">
      <c r="B27" s="159">
        <v>19</v>
      </c>
      <c r="C27" s="131" t="str">
        <f>IF(DataSiswa!A26="",""," "&amp;DataSiswa!A26)</f>
        <v xml:space="preserve"> 19</v>
      </c>
      <c r="D27" s="131" t="str">
        <f>IF(DataSiswa!B26="",""," "&amp;DataSiswa!B26)</f>
        <v xml:space="preserve"> 9980830799</v>
      </c>
      <c r="E27" s="116" t="str">
        <f>IF(DataSiswa!C26="",""," "&amp;DataSiswa!C26)</f>
        <v xml:space="preserve"> Muhammad Irfan</v>
      </c>
      <c r="F27" s="117">
        <f>LEGER!$V$68</f>
        <v>84.2</v>
      </c>
      <c r="G27" s="118">
        <f t="shared" si="0"/>
        <v>1</v>
      </c>
      <c r="H27" s="114"/>
    </row>
    <row r="28" spans="2:8" ht="15" customHeight="1">
      <c r="B28" s="159">
        <v>20</v>
      </c>
      <c r="C28" s="131" t="str">
        <f>IF(DataSiswa!A27="",""," "&amp;DataSiswa!A27)</f>
        <v xml:space="preserve"> 20</v>
      </c>
      <c r="D28" s="131" t="str">
        <f>IF(DataSiswa!B27="",""," "&amp;DataSiswa!B27)</f>
        <v xml:space="preserve"> 9981704177</v>
      </c>
      <c r="E28" s="116" t="str">
        <f>IF(DataSiswa!C27="",""," "&amp;DataSiswa!C27)</f>
        <v xml:space="preserve"> Naura Cantika</v>
      </c>
      <c r="F28" s="117">
        <f>LEGER!$V$71</f>
        <v>82</v>
      </c>
      <c r="G28" s="118">
        <f t="shared" si="0"/>
        <v>5</v>
      </c>
      <c r="H28" s="114"/>
    </row>
    <row r="29" spans="2:8" ht="15" customHeight="1">
      <c r="B29" s="159">
        <v>21</v>
      </c>
      <c r="C29" s="131" t="str">
        <f>IF(DataSiswa!A28="",""," "&amp;DataSiswa!A28)</f>
        <v xml:space="preserve"> 21</v>
      </c>
      <c r="D29" s="131" t="str">
        <f>IF(DataSiswa!B28="",""," "&amp;DataSiswa!B28)</f>
        <v xml:space="preserve"> 9980810523</v>
      </c>
      <c r="E29" s="116" t="str">
        <f>IF(DataSiswa!C28="",""," "&amp;DataSiswa!C28)</f>
        <v xml:space="preserve"> Nurul Putri Salsabila</v>
      </c>
      <c r="F29" s="117">
        <f>LEGER!$V$74</f>
        <v>81.2</v>
      </c>
      <c r="G29" s="118">
        <f t="shared" si="0"/>
        <v>11</v>
      </c>
      <c r="H29" s="114"/>
    </row>
    <row r="30" spans="2:8" ht="15" customHeight="1">
      <c r="B30" s="159">
        <v>22</v>
      </c>
      <c r="C30" s="131" t="str">
        <f>IF(DataSiswa!A29="",""," "&amp;DataSiswa!A29)</f>
        <v xml:space="preserve"> 22</v>
      </c>
      <c r="D30" s="131" t="str">
        <f>IF(DataSiswa!B29="",""," "&amp;DataSiswa!B29)</f>
        <v xml:space="preserve"> 9998982066</v>
      </c>
      <c r="E30" s="116" t="str">
        <f>IF(DataSiswa!C29="",""," "&amp;DataSiswa!C29)</f>
        <v xml:space="preserve"> Rafi Fikriya Riza</v>
      </c>
      <c r="F30" s="117">
        <f>LEGER!$V$77</f>
        <v>81.400000000000006</v>
      </c>
      <c r="G30" s="118">
        <f t="shared" si="0"/>
        <v>8</v>
      </c>
      <c r="H30" s="114"/>
    </row>
    <row r="31" spans="2:8" ht="15" customHeight="1">
      <c r="B31" s="159">
        <v>23</v>
      </c>
      <c r="C31" s="131" t="str">
        <f>IF(DataSiswa!A30="",""," "&amp;DataSiswa!A30)</f>
        <v xml:space="preserve"> 23</v>
      </c>
      <c r="D31" s="131" t="str">
        <f>IF(DataSiswa!B30="",""," "&amp;DataSiswa!B30)</f>
        <v xml:space="preserve"> 9985967994</v>
      </c>
      <c r="E31" s="116" t="str">
        <f>IF(DataSiswa!C30="",""," "&amp;DataSiswa!C30)</f>
        <v xml:space="preserve"> Restu Tria Bahri</v>
      </c>
      <c r="F31" s="117">
        <f>LEGER!$V$80</f>
        <v>78.533333333333331</v>
      </c>
      <c r="G31" s="118">
        <f t="shared" si="0"/>
        <v>32</v>
      </c>
      <c r="H31" s="114"/>
    </row>
    <row r="32" spans="2:8" ht="15" customHeight="1">
      <c r="B32" s="159">
        <v>24</v>
      </c>
      <c r="C32" s="131" t="str">
        <f>IF(DataSiswa!A31="",""," "&amp;DataSiswa!A31)</f>
        <v xml:space="preserve"> 24</v>
      </c>
      <c r="D32" s="131" t="str">
        <f>IF(DataSiswa!B31="",""," "&amp;DataSiswa!B31)</f>
        <v xml:space="preserve"> 9980799351</v>
      </c>
      <c r="E32" s="116" t="str">
        <f>IF(DataSiswa!C31="",""," "&amp;DataSiswa!C31)</f>
        <v xml:space="preserve"> Rifka Esofita</v>
      </c>
      <c r="F32" s="117">
        <f>LEGER!$V$83</f>
        <v>79.533333333333331</v>
      </c>
      <c r="G32" s="118">
        <f t="shared" si="0"/>
        <v>28</v>
      </c>
      <c r="H32" s="114"/>
    </row>
    <row r="33" spans="2:8" ht="15" customHeight="1">
      <c r="B33" s="159">
        <v>25</v>
      </c>
      <c r="C33" s="131" t="str">
        <f>IF(DataSiswa!A32="",""," "&amp;DataSiswa!A32)</f>
        <v xml:space="preserve"> 25</v>
      </c>
      <c r="D33" s="131" t="str">
        <f>IF(DataSiswa!B32="",""," "&amp;DataSiswa!B32)</f>
        <v xml:space="preserve"> 9982095495</v>
      </c>
      <c r="E33" s="116" t="str">
        <f>IF(DataSiswa!C32="",""," "&amp;DataSiswa!C32)</f>
        <v xml:space="preserve"> Rifo Ranofan</v>
      </c>
      <c r="F33" s="117">
        <f>LEGER!$V$86</f>
        <v>80.400000000000006</v>
      </c>
      <c r="G33" s="118">
        <f t="shared" si="0"/>
        <v>19</v>
      </c>
      <c r="H33" s="114"/>
    </row>
    <row r="34" spans="2:8" ht="15" customHeight="1">
      <c r="B34" s="159">
        <v>26</v>
      </c>
      <c r="C34" s="131" t="str">
        <f>IF(DataSiswa!A33="",""," "&amp;DataSiswa!A33)</f>
        <v xml:space="preserve"> 26</v>
      </c>
      <c r="D34" s="131" t="str">
        <f>IF(DataSiswa!B33="",""," "&amp;DataSiswa!B33)</f>
        <v xml:space="preserve"> 9985858026</v>
      </c>
      <c r="E34" s="116" t="str">
        <f>IF(DataSiswa!C33="",""," "&amp;DataSiswa!C33)</f>
        <v xml:space="preserve"> Stephany Widyanti</v>
      </c>
      <c r="F34" s="117">
        <f>LEGER!$V$89</f>
        <v>80.8</v>
      </c>
      <c r="G34" s="118">
        <f t="shared" si="0"/>
        <v>12</v>
      </c>
      <c r="H34" s="114"/>
    </row>
    <row r="35" spans="2:8" ht="15" customHeight="1">
      <c r="B35" s="159">
        <v>27</v>
      </c>
      <c r="C35" s="131" t="str">
        <f>IF(DataSiswa!A34="",""," "&amp;DataSiswa!A34)</f>
        <v xml:space="preserve"> 27</v>
      </c>
      <c r="D35" s="131" t="str">
        <f>IF(DataSiswa!B34="",""," "&amp;DataSiswa!B34)</f>
        <v xml:space="preserve"> 9980818512</v>
      </c>
      <c r="E35" s="116" t="str">
        <f>IF(DataSiswa!C34="",""," "&amp;DataSiswa!C34)</f>
        <v xml:space="preserve"> Tiara Yulianti</v>
      </c>
      <c r="F35" s="117">
        <f>LEGER!$V$92</f>
        <v>81.666666666666671</v>
      </c>
      <c r="G35" s="118">
        <f t="shared" si="0"/>
        <v>6</v>
      </c>
      <c r="H35" s="114"/>
    </row>
    <row r="36" spans="2:8" ht="15" customHeight="1">
      <c r="B36" s="159">
        <v>28</v>
      </c>
      <c r="C36" s="131" t="str">
        <f>IF(DataSiswa!A35="",""," "&amp;DataSiswa!A35)</f>
        <v xml:space="preserve"> 28</v>
      </c>
      <c r="D36" s="131" t="str">
        <f>IF(DataSiswa!B35="",""," "&amp;DataSiswa!B35)</f>
        <v xml:space="preserve"> 9982393794</v>
      </c>
      <c r="E36" s="116" t="str">
        <f>IF(DataSiswa!C35="",""," "&amp;DataSiswa!C35)</f>
        <v xml:space="preserve"> Tika Wandira</v>
      </c>
      <c r="F36" s="117">
        <f>LEGER!$V$95</f>
        <v>80</v>
      </c>
      <c r="G36" s="118">
        <f t="shared" si="0"/>
        <v>23</v>
      </c>
      <c r="H36" s="114"/>
    </row>
    <row r="37" spans="2:8" ht="15" customHeight="1">
      <c r="B37" s="159">
        <v>29</v>
      </c>
      <c r="C37" s="131" t="str">
        <f>IF(DataSiswa!A36="",""," "&amp;DataSiswa!A36)</f>
        <v xml:space="preserve"> 29</v>
      </c>
      <c r="D37" s="131" t="str">
        <f>IF(DataSiswa!B36="",""," "&amp;DataSiswa!B36)</f>
        <v xml:space="preserve"> 9980818720</v>
      </c>
      <c r="E37" s="116" t="str">
        <f>IF(DataSiswa!C36="",""," "&amp;DataSiswa!C36)</f>
        <v xml:space="preserve"> Ulfa Febriyani</v>
      </c>
      <c r="F37" s="117">
        <f>LEGER!$V$98</f>
        <v>80.333333333333329</v>
      </c>
      <c r="G37" s="118">
        <f t="shared" si="0"/>
        <v>20</v>
      </c>
      <c r="H37" s="114"/>
    </row>
    <row r="38" spans="2:8" ht="15" customHeight="1">
      <c r="B38" s="159">
        <v>30</v>
      </c>
      <c r="C38" s="131" t="str">
        <f>IF(DataSiswa!A37="",""," "&amp;DataSiswa!A37)</f>
        <v xml:space="preserve"> 30</v>
      </c>
      <c r="D38" s="131" t="str">
        <f>IF(DataSiswa!B37="",""," "&amp;DataSiswa!B37)</f>
        <v xml:space="preserve"> 9990756408</v>
      </c>
      <c r="E38" s="116" t="str">
        <f>IF(DataSiswa!C37="",""," "&amp;DataSiswa!C37)</f>
        <v xml:space="preserve"> Valdy Filando Sardi</v>
      </c>
      <c r="F38" s="117">
        <f>LEGER!$V$101</f>
        <v>81.266666666666666</v>
      </c>
      <c r="G38" s="118">
        <f t="shared" si="0"/>
        <v>10</v>
      </c>
      <c r="H38" s="114"/>
    </row>
    <row r="39" spans="2:8" ht="15" customHeight="1">
      <c r="B39" s="159">
        <v>31</v>
      </c>
      <c r="C39" s="131" t="str">
        <f>IF(DataSiswa!A38="",""," "&amp;DataSiswa!A38)</f>
        <v xml:space="preserve"> 31</v>
      </c>
      <c r="D39" s="131" t="str">
        <f>IF(DataSiswa!B38="",""," "&amp;DataSiswa!B38)</f>
        <v xml:space="preserve"> 9980816670</v>
      </c>
      <c r="E39" s="116" t="str">
        <f>IF(DataSiswa!C38="",""," "&amp;DataSiswa!C38)</f>
        <v xml:space="preserve"> Vonny Maitaveri</v>
      </c>
      <c r="F39" s="117">
        <f>LEGER!$V$104</f>
        <v>79.666666666666671</v>
      </c>
      <c r="G39" s="118">
        <f t="shared" si="0"/>
        <v>25</v>
      </c>
      <c r="H39" s="114"/>
    </row>
    <row r="40" spans="2:8" ht="15" customHeight="1">
      <c r="B40" s="159">
        <v>32</v>
      </c>
      <c r="C40" s="131" t="str">
        <f>IF(DataSiswa!A39="",""," "&amp;DataSiswa!A39)</f>
        <v xml:space="preserve"> 32</v>
      </c>
      <c r="D40" s="131" t="str">
        <f>IF(DataSiswa!B39="",""," "&amp;DataSiswa!B39)</f>
        <v xml:space="preserve"> 9982889268</v>
      </c>
      <c r="E40" s="116" t="str">
        <f>IF(DataSiswa!C39="",""," "&amp;DataSiswa!C39)</f>
        <v xml:space="preserve"> Wahyu Yolanda</v>
      </c>
      <c r="F40" s="117">
        <f>LEGER!$V$107</f>
        <v>80.533333333333331</v>
      </c>
      <c r="G40" s="118">
        <f t="shared" si="0"/>
        <v>17</v>
      </c>
      <c r="H40" s="114"/>
    </row>
    <row r="41" spans="2:8" ht="15" customHeight="1">
      <c r="B41" s="159">
        <v>33</v>
      </c>
      <c r="C41" s="131" t="str">
        <f>IF(DataSiswa!A40="",""," "&amp;DataSiswa!A40)</f>
        <v xml:space="preserve"> 33</v>
      </c>
      <c r="D41" s="131" t="str">
        <f>IF(DataSiswa!B40="",""," "&amp;DataSiswa!B40)</f>
        <v/>
      </c>
      <c r="E41" s="116" t="str">
        <f>IF(DataSiswa!C40="",""," "&amp;DataSiswa!C40)</f>
        <v/>
      </c>
      <c r="F41" s="117">
        <f>LEGER!$V$140</f>
        <v>0</v>
      </c>
      <c r="G41" s="118">
        <f t="shared" si="0"/>
        <v>33</v>
      </c>
      <c r="H41" s="114"/>
    </row>
    <row r="42" spans="2:8" ht="15" customHeight="1">
      <c r="B42" s="159">
        <v>34</v>
      </c>
      <c r="C42" s="131" t="str">
        <f>IF(DataSiswa!A41="",""," "&amp;DataSiswa!A41)</f>
        <v xml:space="preserve"> 34</v>
      </c>
      <c r="D42" s="131" t="str">
        <f>IF(DataSiswa!B41="",""," "&amp;DataSiswa!B41)</f>
        <v/>
      </c>
      <c r="E42" s="116" t="str">
        <f>IF(DataSiswa!C41="",""," "&amp;DataSiswa!C41)</f>
        <v/>
      </c>
      <c r="F42" s="117">
        <f>LEGER!$V$143</f>
        <v>0</v>
      </c>
      <c r="G42" s="118">
        <f t="shared" si="0"/>
        <v>33</v>
      </c>
      <c r="H42" s="114"/>
    </row>
    <row r="43" spans="2:8" ht="15" customHeight="1">
      <c r="B43" s="159">
        <v>35</v>
      </c>
      <c r="C43" s="131" t="str">
        <f>IF(DataSiswa!A42="",""," "&amp;DataSiswa!A42)</f>
        <v xml:space="preserve"> 35</v>
      </c>
      <c r="D43" s="131" t="str">
        <f>IF(DataSiswa!B42="",""," "&amp;DataSiswa!B42)</f>
        <v/>
      </c>
      <c r="E43" s="116" t="str">
        <f>IF(DataSiswa!C42="",""," "&amp;DataSiswa!C42)</f>
        <v/>
      </c>
      <c r="F43" s="117">
        <f>LEGER!$V$146</f>
        <v>0</v>
      </c>
      <c r="G43" s="118">
        <f t="shared" si="0"/>
        <v>33</v>
      </c>
      <c r="H43" s="114"/>
    </row>
    <row r="44" spans="2:8" ht="15" customHeight="1">
      <c r="B44" s="159">
        <v>36</v>
      </c>
      <c r="C44" s="131" t="str">
        <f>IF(DataSiswa!A43="",""," "&amp;DataSiswa!A43)</f>
        <v xml:space="preserve"> 36</v>
      </c>
      <c r="D44" s="131" t="str">
        <f>IF(DataSiswa!B43="",""," "&amp;DataSiswa!B43)</f>
        <v/>
      </c>
      <c r="E44" s="116" t="str">
        <f>IF(DataSiswa!C43="",""," "&amp;DataSiswa!C43)</f>
        <v/>
      </c>
      <c r="F44" s="117">
        <f>LEGER!$V$149</f>
        <v>0</v>
      </c>
      <c r="G44" s="118">
        <f t="shared" si="0"/>
        <v>33</v>
      </c>
      <c r="H44" s="114"/>
    </row>
    <row r="45" spans="2:8" ht="15" customHeight="1">
      <c r="B45" s="159">
        <v>37</v>
      </c>
      <c r="C45" s="131" t="str">
        <f>IF(DataSiswa!A44="",""," "&amp;DataSiswa!A44)</f>
        <v xml:space="preserve"> 37</v>
      </c>
      <c r="D45" s="131" t="str">
        <f>IF(DataSiswa!B44="",""," "&amp;DataSiswa!B44)</f>
        <v/>
      </c>
      <c r="E45" s="116" t="str">
        <f>IF(DataSiswa!C44="",""," "&amp;DataSiswa!C44)</f>
        <v/>
      </c>
      <c r="F45" s="117">
        <f>LEGER!$V$152</f>
        <v>0</v>
      </c>
      <c r="G45" s="118">
        <f t="shared" si="0"/>
        <v>33</v>
      </c>
      <c r="H45" s="114"/>
    </row>
    <row r="46" spans="2:8" ht="15" customHeight="1">
      <c r="B46" s="159">
        <v>38</v>
      </c>
      <c r="C46" s="131" t="str">
        <f>IF(DataSiswa!A45="",""," "&amp;DataSiswa!A45)</f>
        <v xml:space="preserve"> 38</v>
      </c>
      <c r="D46" s="131" t="str">
        <f>IF(DataSiswa!B45="",""," "&amp;DataSiswa!B45)</f>
        <v/>
      </c>
      <c r="E46" s="116" t="str">
        <f>IF(DataSiswa!C45="",""," "&amp;DataSiswa!C45)</f>
        <v/>
      </c>
      <c r="F46" s="117">
        <f>LEGER!$V$155</f>
        <v>0</v>
      </c>
      <c r="G46" s="118">
        <f t="shared" si="0"/>
        <v>33</v>
      </c>
      <c r="H46" s="114"/>
    </row>
    <row r="47" spans="2:8" ht="15" customHeight="1">
      <c r="B47" s="159">
        <v>39</v>
      </c>
      <c r="C47" s="131" t="str">
        <f>IF(DataSiswa!A46="",""," "&amp;DataSiswa!A46)</f>
        <v xml:space="preserve"> 39</v>
      </c>
      <c r="D47" s="131" t="str">
        <f>IF(DataSiswa!B46="",""," "&amp;DataSiswa!B46)</f>
        <v/>
      </c>
      <c r="E47" s="116" t="str">
        <f>IF(DataSiswa!C46="",""," "&amp;DataSiswa!C46)</f>
        <v/>
      </c>
      <c r="F47" s="117">
        <f>LEGER!$V$158</f>
        <v>0</v>
      </c>
      <c r="G47" s="118">
        <f t="shared" si="0"/>
        <v>33</v>
      </c>
      <c r="H47" s="114"/>
    </row>
    <row r="48" spans="2:8">
      <c r="B48" s="114"/>
      <c r="C48" s="114"/>
      <c r="D48" s="114"/>
      <c r="E48" s="114"/>
      <c r="F48" s="114"/>
      <c r="G48" s="114"/>
      <c r="H48" s="114"/>
    </row>
  </sheetData>
  <mergeCells count="8">
    <mergeCell ref="K6:K8"/>
    <mergeCell ref="C4:G4"/>
    <mergeCell ref="C5:G5"/>
    <mergeCell ref="C7:C8"/>
    <mergeCell ref="D7:D8"/>
    <mergeCell ref="E7:E8"/>
    <mergeCell ref="F7:F8"/>
    <mergeCell ref="G7:G8"/>
  </mergeCells>
  <conditionalFormatting sqref="G9:G47">
    <cfRule type="cellIs" dxfId="1" priority="1" stopIfTrue="1" operator="lessThan">
      <formula>11</formula>
    </cfRule>
    <cfRule type="cellIs" dxfId="0" priority="2" stopIfTrue="1" operator="lessThan">
      <formula>10</formula>
    </cfRule>
  </conditionalFormatting>
  <hyperlinks>
    <hyperlink ref="K6:K8" location="UTAMA!A1" display="MENU"/>
  </hyperlinks>
  <pageMargins left="0.95" right="0.7" top="0.75" bottom="0.75" header="0.3" footer="0.3"/>
  <pageSetup paperSize="9" orientation="portrait" horizontalDpi="4294967293" vertic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C00000"/>
  </sheetPr>
  <dimension ref="A1:G101"/>
  <sheetViews>
    <sheetView workbookViewId="0">
      <selection activeCell="H20" sqref="H20"/>
    </sheetView>
  </sheetViews>
  <sheetFormatPr defaultRowHeight="15"/>
  <sheetData>
    <row r="1" spans="1:7">
      <c r="A1" s="225">
        <v>0</v>
      </c>
      <c r="B1" s="226">
        <v>1</v>
      </c>
      <c r="C1" t="s">
        <v>262</v>
      </c>
      <c r="D1">
        <v>1</v>
      </c>
      <c r="E1" s="267">
        <v>1.17</v>
      </c>
      <c r="F1" s="267">
        <v>1</v>
      </c>
      <c r="G1" s="267">
        <f>E1-F1</f>
        <v>0.16999999999999993</v>
      </c>
    </row>
    <row r="2" spans="1:7">
      <c r="A2" s="225">
        <v>1</v>
      </c>
      <c r="B2" s="226">
        <v>1</v>
      </c>
      <c r="C2" t="s">
        <v>262</v>
      </c>
      <c r="D2">
        <v>2</v>
      </c>
      <c r="E2" s="267">
        <v>1.5</v>
      </c>
      <c r="F2" s="267">
        <v>1.18</v>
      </c>
      <c r="G2" s="267">
        <f t="shared" ref="G2:G10" si="0">E2-F2</f>
        <v>0.32000000000000006</v>
      </c>
    </row>
    <row r="3" spans="1:7">
      <c r="A3" s="225">
        <v>2</v>
      </c>
      <c r="B3" s="226">
        <v>1</v>
      </c>
      <c r="C3" t="s">
        <v>262</v>
      </c>
      <c r="D3">
        <v>3</v>
      </c>
      <c r="E3" s="267">
        <v>1.85</v>
      </c>
      <c r="F3" s="267">
        <v>1.51</v>
      </c>
      <c r="G3" s="267">
        <f t="shared" si="0"/>
        <v>0.34000000000000008</v>
      </c>
    </row>
    <row r="4" spans="1:7">
      <c r="A4" s="225">
        <v>3</v>
      </c>
      <c r="B4" s="226">
        <v>1</v>
      </c>
      <c r="C4" t="s">
        <v>262</v>
      </c>
      <c r="D4">
        <v>4</v>
      </c>
      <c r="E4" s="267">
        <v>2.17</v>
      </c>
      <c r="F4" s="267">
        <v>1.85</v>
      </c>
      <c r="G4" s="267">
        <f t="shared" si="0"/>
        <v>0.31999999999999984</v>
      </c>
    </row>
    <row r="5" spans="1:7">
      <c r="A5" s="225">
        <v>4</v>
      </c>
      <c r="B5" s="226">
        <v>1</v>
      </c>
      <c r="C5" t="s">
        <v>262</v>
      </c>
      <c r="D5">
        <v>5</v>
      </c>
      <c r="E5" s="267">
        <v>2.5</v>
      </c>
      <c r="F5" s="267">
        <v>2.1800000000000002</v>
      </c>
      <c r="G5" s="267">
        <f t="shared" si="0"/>
        <v>0.31999999999999984</v>
      </c>
    </row>
    <row r="6" spans="1:7">
      <c r="A6" s="225">
        <v>5</v>
      </c>
      <c r="B6" s="226">
        <v>1</v>
      </c>
      <c r="C6" t="s">
        <v>262</v>
      </c>
      <c r="D6">
        <v>6</v>
      </c>
      <c r="E6" s="267">
        <v>2.84</v>
      </c>
      <c r="F6" s="267">
        <v>2.5099999999999998</v>
      </c>
      <c r="G6" s="267">
        <f t="shared" si="0"/>
        <v>0.33000000000000007</v>
      </c>
    </row>
    <row r="7" spans="1:7">
      <c r="A7" s="225">
        <v>6</v>
      </c>
      <c r="B7" s="226">
        <v>1</v>
      </c>
      <c r="C7" t="s">
        <v>262</v>
      </c>
      <c r="D7">
        <v>7</v>
      </c>
      <c r="E7" s="267">
        <v>3.17</v>
      </c>
      <c r="F7" s="267">
        <v>2.85</v>
      </c>
      <c r="G7" s="267">
        <f t="shared" si="0"/>
        <v>0.31999999999999984</v>
      </c>
    </row>
    <row r="8" spans="1:7">
      <c r="A8" s="225">
        <v>7</v>
      </c>
      <c r="B8" s="226">
        <v>1</v>
      </c>
      <c r="C8" t="s">
        <v>262</v>
      </c>
      <c r="D8">
        <v>8</v>
      </c>
      <c r="E8" s="267">
        <v>3.5</v>
      </c>
      <c r="F8" s="267">
        <v>3.18</v>
      </c>
      <c r="G8" s="267">
        <f t="shared" si="0"/>
        <v>0.31999999999999984</v>
      </c>
    </row>
    <row r="9" spans="1:7">
      <c r="A9" s="225">
        <v>8</v>
      </c>
      <c r="B9" s="226">
        <v>1</v>
      </c>
      <c r="C9" t="s">
        <v>262</v>
      </c>
      <c r="D9">
        <v>9</v>
      </c>
      <c r="E9" s="267">
        <v>3.84</v>
      </c>
      <c r="F9" s="267">
        <v>3.51</v>
      </c>
      <c r="G9" s="267">
        <f t="shared" si="0"/>
        <v>0.33000000000000007</v>
      </c>
    </row>
    <row r="10" spans="1:7">
      <c r="A10" s="225">
        <v>9</v>
      </c>
      <c r="B10" s="226">
        <v>1</v>
      </c>
      <c r="C10" t="s">
        <v>262</v>
      </c>
      <c r="D10">
        <v>10</v>
      </c>
      <c r="E10" s="267">
        <v>4</v>
      </c>
      <c r="F10" s="267">
        <v>3.85</v>
      </c>
      <c r="G10" s="267">
        <f t="shared" si="0"/>
        <v>0.14999999999999991</v>
      </c>
    </row>
    <row r="11" spans="1:7">
      <c r="A11" s="225">
        <v>10</v>
      </c>
      <c r="B11" s="226">
        <v>1</v>
      </c>
      <c r="C11" t="s">
        <v>262</v>
      </c>
      <c r="G11" s="267">
        <f>SUM(G1:G10)</f>
        <v>2.9199999999999995</v>
      </c>
    </row>
    <row r="12" spans="1:7">
      <c r="A12" s="225">
        <v>11</v>
      </c>
      <c r="B12" s="226">
        <v>1</v>
      </c>
      <c r="C12" t="s">
        <v>262</v>
      </c>
    </row>
    <row r="13" spans="1:7">
      <c r="A13" s="225">
        <v>12</v>
      </c>
      <c r="B13" s="226">
        <v>1</v>
      </c>
      <c r="C13" t="s">
        <v>262</v>
      </c>
    </row>
    <row r="14" spans="1:7">
      <c r="A14" s="225">
        <v>13</v>
      </c>
      <c r="B14" s="226">
        <v>1</v>
      </c>
      <c r="C14" t="s">
        <v>262</v>
      </c>
    </row>
    <row r="15" spans="1:7">
      <c r="A15" s="225">
        <v>14</v>
      </c>
      <c r="B15" s="226">
        <v>1</v>
      </c>
      <c r="C15" t="s">
        <v>262</v>
      </c>
    </row>
    <row r="16" spans="1:7">
      <c r="A16" s="225">
        <v>15</v>
      </c>
      <c r="B16" s="226">
        <v>1</v>
      </c>
      <c r="C16" t="s">
        <v>262</v>
      </c>
    </row>
    <row r="17" spans="1:3">
      <c r="A17" s="225">
        <v>16</v>
      </c>
      <c r="B17" s="226">
        <v>1</v>
      </c>
      <c r="C17" t="s">
        <v>262</v>
      </c>
    </row>
    <row r="18" spans="1:3">
      <c r="A18" s="225">
        <v>17</v>
      </c>
      <c r="B18" s="226">
        <v>1</v>
      </c>
      <c r="C18" t="s">
        <v>262</v>
      </c>
    </row>
    <row r="19" spans="1:3">
      <c r="A19" s="225">
        <v>18</v>
      </c>
      <c r="B19" s="226">
        <v>1</v>
      </c>
      <c r="C19" t="s">
        <v>262</v>
      </c>
    </row>
    <row r="20" spans="1:3">
      <c r="A20" s="225">
        <v>19</v>
      </c>
      <c r="B20" s="226">
        <v>1</v>
      </c>
      <c r="C20" t="s">
        <v>262</v>
      </c>
    </row>
    <row r="21" spans="1:3">
      <c r="A21" s="225">
        <v>20</v>
      </c>
      <c r="B21" s="226">
        <v>1</v>
      </c>
      <c r="C21" t="s">
        <v>262</v>
      </c>
    </row>
    <row r="22" spans="1:3">
      <c r="A22" s="225">
        <v>21</v>
      </c>
      <c r="B22" s="226">
        <v>1</v>
      </c>
      <c r="C22" t="s">
        <v>262</v>
      </c>
    </row>
    <row r="23" spans="1:3">
      <c r="A23" s="225">
        <v>22</v>
      </c>
      <c r="B23" s="226">
        <v>1</v>
      </c>
      <c r="C23" t="s">
        <v>262</v>
      </c>
    </row>
    <row r="24" spans="1:3">
      <c r="A24" s="225">
        <v>23</v>
      </c>
      <c r="B24" s="226">
        <v>1</v>
      </c>
      <c r="C24" t="s">
        <v>262</v>
      </c>
    </row>
    <row r="25" spans="1:3">
      <c r="A25" s="225">
        <v>24</v>
      </c>
      <c r="B25" s="226">
        <v>1</v>
      </c>
      <c r="C25" t="s">
        <v>262</v>
      </c>
    </row>
    <row r="26" spans="1:3">
      <c r="A26" s="225">
        <v>25</v>
      </c>
      <c r="B26" s="226">
        <v>1</v>
      </c>
      <c r="C26" t="s">
        <v>262</v>
      </c>
    </row>
    <row r="27" spans="1:3">
      <c r="A27" s="225">
        <v>26</v>
      </c>
      <c r="B27" s="226">
        <v>1</v>
      </c>
      <c r="C27" t="s">
        <v>262</v>
      </c>
    </row>
    <row r="28" spans="1:3">
      <c r="A28" s="225">
        <v>27</v>
      </c>
      <c r="B28" s="226">
        <v>1</v>
      </c>
      <c r="C28" t="s">
        <v>262</v>
      </c>
    </row>
    <row r="29" spans="1:3">
      <c r="A29" s="225">
        <v>28</v>
      </c>
      <c r="B29" s="226">
        <v>1</v>
      </c>
      <c r="C29" t="s">
        <v>262</v>
      </c>
    </row>
    <row r="30" spans="1:3">
      <c r="A30" s="225">
        <v>29</v>
      </c>
      <c r="B30" s="226">
        <v>1</v>
      </c>
      <c r="C30" t="s">
        <v>262</v>
      </c>
    </row>
    <row r="31" spans="1:3">
      <c r="A31" s="225">
        <v>30</v>
      </c>
      <c r="B31" s="226">
        <v>1</v>
      </c>
      <c r="C31" t="s">
        <v>262</v>
      </c>
    </row>
    <row r="32" spans="1:3">
      <c r="A32" s="225">
        <v>31</v>
      </c>
      <c r="B32" s="226">
        <v>1</v>
      </c>
      <c r="C32" t="s">
        <v>262</v>
      </c>
    </row>
    <row r="33" spans="1:3">
      <c r="A33" s="225">
        <v>32</v>
      </c>
      <c r="B33" s="226">
        <v>1</v>
      </c>
      <c r="C33" t="s">
        <v>262</v>
      </c>
    </row>
    <row r="34" spans="1:3">
      <c r="A34" s="225">
        <v>33</v>
      </c>
      <c r="B34" s="226">
        <v>1</v>
      </c>
      <c r="C34" t="s">
        <v>262</v>
      </c>
    </row>
    <row r="35" spans="1:3">
      <c r="A35" s="225">
        <v>34</v>
      </c>
      <c r="B35" s="226">
        <v>1</v>
      </c>
      <c r="C35" t="s">
        <v>262</v>
      </c>
    </row>
    <row r="36" spans="1:3">
      <c r="A36" s="225">
        <v>35</v>
      </c>
      <c r="B36" s="226">
        <v>1</v>
      </c>
      <c r="C36" t="s">
        <v>262</v>
      </c>
    </row>
    <row r="37" spans="1:3">
      <c r="A37" s="225">
        <v>36</v>
      </c>
      <c r="B37" s="226">
        <v>1</v>
      </c>
      <c r="C37" t="s">
        <v>262</v>
      </c>
    </row>
    <row r="38" spans="1:3">
      <c r="A38" s="225">
        <v>37</v>
      </c>
      <c r="B38" s="226">
        <v>1</v>
      </c>
      <c r="C38" t="s">
        <v>262</v>
      </c>
    </row>
    <row r="39" spans="1:3">
      <c r="A39" s="225">
        <v>38</v>
      </c>
      <c r="B39" s="226">
        <v>1</v>
      </c>
      <c r="C39" t="s">
        <v>262</v>
      </c>
    </row>
    <row r="40" spans="1:3">
      <c r="A40" s="225">
        <v>39</v>
      </c>
      <c r="B40" s="226">
        <v>1</v>
      </c>
      <c r="C40" t="s">
        <v>262</v>
      </c>
    </row>
    <row r="41" spans="1:3">
      <c r="A41" s="225">
        <v>40</v>
      </c>
      <c r="B41" s="226">
        <v>1</v>
      </c>
      <c r="C41" t="s">
        <v>262</v>
      </c>
    </row>
    <row r="42" spans="1:3">
      <c r="A42" s="225">
        <v>41</v>
      </c>
      <c r="B42" s="226">
        <v>1</v>
      </c>
      <c r="C42" t="s">
        <v>262</v>
      </c>
    </row>
    <row r="43" spans="1:3">
      <c r="A43" s="225">
        <v>42</v>
      </c>
      <c r="B43" s="226">
        <v>1</v>
      </c>
      <c r="C43" t="s">
        <v>262</v>
      </c>
    </row>
    <row r="44" spans="1:3">
      <c r="A44" s="225">
        <v>43</v>
      </c>
      <c r="B44" s="226">
        <v>1</v>
      </c>
      <c r="C44" t="s">
        <v>262</v>
      </c>
    </row>
    <row r="45" spans="1:3">
      <c r="A45" s="225">
        <v>44</v>
      </c>
      <c r="B45" s="226">
        <v>1</v>
      </c>
      <c r="C45" t="s">
        <v>262</v>
      </c>
    </row>
    <row r="46" spans="1:3">
      <c r="A46" s="225">
        <v>45</v>
      </c>
      <c r="B46" s="226">
        <v>1</v>
      </c>
      <c r="C46" t="s">
        <v>262</v>
      </c>
    </row>
    <row r="47" spans="1:3">
      <c r="A47" s="225">
        <v>46</v>
      </c>
      <c r="B47" s="226">
        <v>1</v>
      </c>
      <c r="C47" t="s">
        <v>262</v>
      </c>
    </row>
    <row r="48" spans="1:3">
      <c r="A48" s="225">
        <v>47</v>
      </c>
      <c r="B48" s="226">
        <v>1</v>
      </c>
      <c r="C48" t="s">
        <v>262</v>
      </c>
    </row>
    <row r="49" spans="1:3">
      <c r="A49" s="225">
        <v>48</v>
      </c>
      <c r="B49" s="226">
        <v>1</v>
      </c>
      <c r="C49" t="s">
        <v>262</v>
      </c>
    </row>
    <row r="50" spans="1:3">
      <c r="A50" s="225">
        <v>49</v>
      </c>
      <c r="B50" s="226">
        <v>1</v>
      </c>
      <c r="C50" t="s">
        <v>262</v>
      </c>
    </row>
    <row r="51" spans="1:3">
      <c r="A51" s="225">
        <v>50</v>
      </c>
      <c r="B51" s="226">
        <v>1</v>
      </c>
      <c r="C51" t="s">
        <v>262</v>
      </c>
    </row>
    <row r="52" spans="1:3">
      <c r="A52" s="225">
        <v>51</v>
      </c>
      <c r="B52" s="226">
        <v>1</v>
      </c>
      <c r="C52" t="s">
        <v>262</v>
      </c>
    </row>
    <row r="53" spans="1:3">
      <c r="A53" s="225">
        <v>52</v>
      </c>
      <c r="B53" s="226">
        <v>1</v>
      </c>
      <c r="C53" t="s">
        <v>262</v>
      </c>
    </row>
    <row r="54" spans="1:3">
      <c r="A54" s="225">
        <v>53</v>
      </c>
      <c r="B54" s="226">
        <v>1</v>
      </c>
      <c r="C54" t="s">
        <v>262</v>
      </c>
    </row>
    <row r="55" spans="1:3">
      <c r="A55" s="225">
        <v>54</v>
      </c>
      <c r="B55" s="226">
        <v>1.17</v>
      </c>
      <c r="C55" t="s">
        <v>262</v>
      </c>
    </row>
    <row r="56" spans="1:3">
      <c r="A56" s="225">
        <v>55</v>
      </c>
      <c r="B56" s="226">
        <v>1.18</v>
      </c>
      <c r="C56" t="s">
        <v>263</v>
      </c>
    </row>
    <row r="57" spans="1:3">
      <c r="A57" s="225">
        <v>56</v>
      </c>
      <c r="B57" s="226">
        <v>1.33</v>
      </c>
      <c r="C57" t="s">
        <v>263</v>
      </c>
    </row>
    <row r="58" spans="1:3">
      <c r="A58" s="225">
        <v>57</v>
      </c>
      <c r="B58" s="226">
        <v>1.33</v>
      </c>
      <c r="C58" t="s">
        <v>263</v>
      </c>
    </row>
    <row r="59" spans="1:3">
      <c r="A59" s="225">
        <v>58</v>
      </c>
      <c r="B59" s="226">
        <v>1.33</v>
      </c>
      <c r="C59" t="s">
        <v>263</v>
      </c>
    </row>
    <row r="60" spans="1:3">
      <c r="A60" s="225">
        <v>59</v>
      </c>
      <c r="B60" s="226">
        <v>1.5</v>
      </c>
      <c r="C60" t="s">
        <v>263</v>
      </c>
    </row>
    <row r="61" spans="1:3">
      <c r="A61" s="225">
        <v>60</v>
      </c>
      <c r="B61" s="226">
        <v>1.51</v>
      </c>
      <c r="C61" t="s">
        <v>264</v>
      </c>
    </row>
    <row r="62" spans="1:3">
      <c r="A62" s="225">
        <v>61</v>
      </c>
      <c r="B62" s="226">
        <v>1.66</v>
      </c>
      <c r="C62" t="s">
        <v>264</v>
      </c>
    </row>
    <row r="63" spans="1:3">
      <c r="A63" s="225">
        <v>62</v>
      </c>
      <c r="B63" s="226">
        <v>1.66</v>
      </c>
      <c r="C63" t="s">
        <v>264</v>
      </c>
    </row>
    <row r="64" spans="1:3">
      <c r="A64" s="225">
        <v>63</v>
      </c>
      <c r="B64" s="226">
        <v>1.66</v>
      </c>
      <c r="C64" t="s">
        <v>264</v>
      </c>
    </row>
    <row r="65" spans="1:3">
      <c r="A65" s="225">
        <v>64</v>
      </c>
      <c r="B65" s="226">
        <v>1.84</v>
      </c>
      <c r="C65" t="s">
        <v>264</v>
      </c>
    </row>
    <row r="66" spans="1:3">
      <c r="A66" s="225">
        <v>65</v>
      </c>
      <c r="B66" s="226">
        <v>1.85</v>
      </c>
      <c r="C66" t="s">
        <v>265</v>
      </c>
    </row>
    <row r="67" spans="1:3">
      <c r="A67" s="225">
        <v>66</v>
      </c>
      <c r="B67" s="226">
        <v>2</v>
      </c>
      <c r="C67" t="s">
        <v>265</v>
      </c>
    </row>
    <row r="68" spans="1:3">
      <c r="A68" s="225">
        <v>67</v>
      </c>
      <c r="B68" s="226">
        <v>2</v>
      </c>
      <c r="C68" t="s">
        <v>265</v>
      </c>
    </row>
    <row r="69" spans="1:3">
      <c r="A69" s="225">
        <v>68</v>
      </c>
      <c r="B69" s="226">
        <v>2</v>
      </c>
      <c r="C69" t="s">
        <v>265</v>
      </c>
    </row>
    <row r="70" spans="1:3">
      <c r="A70" s="225">
        <v>69</v>
      </c>
      <c r="B70" s="226">
        <v>2.17</v>
      </c>
      <c r="C70" t="s">
        <v>265</v>
      </c>
    </row>
    <row r="71" spans="1:3">
      <c r="A71" s="225">
        <v>70</v>
      </c>
      <c r="B71" s="226">
        <v>2.1800000000000002</v>
      </c>
      <c r="C71" t="s">
        <v>266</v>
      </c>
    </row>
    <row r="72" spans="1:3">
      <c r="A72" s="225">
        <v>71</v>
      </c>
      <c r="B72" s="226">
        <v>2.33</v>
      </c>
      <c r="C72" t="s">
        <v>266</v>
      </c>
    </row>
    <row r="73" spans="1:3">
      <c r="A73" s="225">
        <v>72</v>
      </c>
      <c r="B73" s="226">
        <v>2.33</v>
      </c>
      <c r="C73" t="s">
        <v>266</v>
      </c>
    </row>
    <row r="74" spans="1:3">
      <c r="A74" s="225">
        <v>73</v>
      </c>
      <c r="B74" s="226">
        <v>2.33</v>
      </c>
      <c r="C74" t="s">
        <v>266</v>
      </c>
    </row>
    <row r="75" spans="1:3">
      <c r="A75" s="225">
        <v>74</v>
      </c>
      <c r="B75" s="226">
        <v>2.5</v>
      </c>
      <c r="C75" t="s">
        <v>266</v>
      </c>
    </row>
    <row r="76" spans="1:3">
      <c r="A76" s="225">
        <v>75</v>
      </c>
      <c r="B76" s="226">
        <v>2.5099999999999998</v>
      </c>
      <c r="C76" t="s">
        <v>267</v>
      </c>
    </row>
    <row r="77" spans="1:3">
      <c r="A77" s="225">
        <v>76</v>
      </c>
      <c r="B77" s="226">
        <v>2.66</v>
      </c>
      <c r="C77" t="s">
        <v>267</v>
      </c>
    </row>
    <row r="78" spans="1:3">
      <c r="A78" s="225">
        <v>77</v>
      </c>
      <c r="B78" s="226">
        <v>2.66</v>
      </c>
      <c r="C78" t="s">
        <v>267</v>
      </c>
    </row>
    <row r="79" spans="1:3">
      <c r="A79" s="225">
        <v>78</v>
      </c>
      <c r="B79" s="226">
        <v>2.66</v>
      </c>
      <c r="C79" t="s">
        <v>267</v>
      </c>
    </row>
    <row r="80" spans="1:3">
      <c r="A80" s="225">
        <v>79</v>
      </c>
      <c r="B80" s="226">
        <v>2.84</v>
      </c>
      <c r="C80" t="s">
        <v>267</v>
      </c>
    </row>
    <row r="81" spans="1:3">
      <c r="A81" s="225">
        <v>80</v>
      </c>
      <c r="B81" s="226">
        <v>2.85</v>
      </c>
      <c r="C81" t="s">
        <v>24</v>
      </c>
    </row>
    <row r="82" spans="1:3">
      <c r="A82" s="225">
        <v>81</v>
      </c>
      <c r="B82" s="226">
        <v>3</v>
      </c>
      <c r="C82" t="s">
        <v>24</v>
      </c>
    </row>
    <row r="83" spans="1:3">
      <c r="A83" s="225">
        <v>82</v>
      </c>
      <c r="B83" s="226">
        <v>3</v>
      </c>
      <c r="C83" t="s">
        <v>24</v>
      </c>
    </row>
    <row r="84" spans="1:3">
      <c r="A84" s="225">
        <v>83</v>
      </c>
      <c r="B84" s="226">
        <v>3</v>
      </c>
      <c r="C84" t="s">
        <v>24</v>
      </c>
    </row>
    <row r="85" spans="1:3">
      <c r="A85" s="225">
        <v>84</v>
      </c>
      <c r="B85" s="226">
        <v>3.17</v>
      </c>
      <c r="C85" t="s">
        <v>24</v>
      </c>
    </row>
    <row r="86" spans="1:3">
      <c r="A86" s="225">
        <v>85</v>
      </c>
      <c r="B86" s="226">
        <v>3.18</v>
      </c>
      <c r="C86" t="s">
        <v>268</v>
      </c>
    </row>
    <row r="87" spans="1:3">
      <c r="A87" s="225">
        <v>86</v>
      </c>
      <c r="B87" s="226">
        <v>3.33</v>
      </c>
      <c r="C87" t="s">
        <v>268</v>
      </c>
    </row>
    <row r="88" spans="1:3">
      <c r="A88" s="225">
        <v>87</v>
      </c>
      <c r="B88" s="226">
        <v>3.33</v>
      </c>
      <c r="C88" t="s">
        <v>268</v>
      </c>
    </row>
    <row r="89" spans="1:3">
      <c r="A89" s="225">
        <v>88</v>
      </c>
      <c r="B89" s="226">
        <v>3.33</v>
      </c>
      <c r="C89" t="s">
        <v>268</v>
      </c>
    </row>
    <row r="90" spans="1:3">
      <c r="A90" s="225">
        <v>89</v>
      </c>
      <c r="B90" s="226">
        <v>3.33</v>
      </c>
      <c r="C90" t="s">
        <v>268</v>
      </c>
    </row>
    <row r="91" spans="1:3">
      <c r="A91" s="225">
        <v>90</v>
      </c>
      <c r="B91" s="226">
        <v>3.5</v>
      </c>
      <c r="C91" t="s">
        <v>268</v>
      </c>
    </row>
    <row r="92" spans="1:3">
      <c r="A92" s="225">
        <v>91</v>
      </c>
      <c r="B92" s="226">
        <v>3.51</v>
      </c>
      <c r="C92" t="s">
        <v>269</v>
      </c>
    </row>
    <row r="93" spans="1:3">
      <c r="A93" s="225">
        <v>92</v>
      </c>
      <c r="B93" s="226">
        <v>3.66</v>
      </c>
      <c r="C93" t="s">
        <v>269</v>
      </c>
    </row>
    <row r="94" spans="1:3">
      <c r="A94" s="225">
        <v>93</v>
      </c>
      <c r="B94" s="226">
        <v>3.66</v>
      </c>
      <c r="C94" t="s">
        <v>269</v>
      </c>
    </row>
    <row r="95" spans="1:3">
      <c r="A95" s="225">
        <v>94</v>
      </c>
      <c r="B95" s="226">
        <v>3.66</v>
      </c>
      <c r="C95" t="s">
        <v>269</v>
      </c>
    </row>
    <row r="96" spans="1:3">
      <c r="A96" s="225">
        <v>95</v>
      </c>
      <c r="B96" s="226">
        <v>3.84</v>
      </c>
      <c r="C96" t="s">
        <v>269</v>
      </c>
    </row>
    <row r="97" spans="1:3">
      <c r="A97" s="225">
        <v>96</v>
      </c>
      <c r="B97" s="226">
        <v>3.85</v>
      </c>
      <c r="C97" t="s">
        <v>23</v>
      </c>
    </row>
    <row r="98" spans="1:3">
      <c r="A98" s="225">
        <v>97</v>
      </c>
      <c r="B98" s="226">
        <v>4</v>
      </c>
      <c r="C98" t="s">
        <v>23</v>
      </c>
    </row>
    <row r="99" spans="1:3">
      <c r="A99" s="225">
        <v>98</v>
      </c>
      <c r="B99" s="226">
        <v>4</v>
      </c>
      <c r="C99" t="s">
        <v>23</v>
      </c>
    </row>
    <row r="100" spans="1:3">
      <c r="A100" s="225">
        <v>99</v>
      </c>
      <c r="B100" s="226">
        <v>4</v>
      </c>
      <c r="C100" t="s">
        <v>23</v>
      </c>
    </row>
    <row r="101" spans="1:3">
      <c r="A101" s="225">
        <v>100</v>
      </c>
      <c r="B101" s="226">
        <v>4</v>
      </c>
      <c r="C101" t="s">
        <v>23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J46"/>
  <sheetViews>
    <sheetView showGridLines="0" topLeftCell="C1" workbookViewId="0">
      <selection activeCell="G9" sqref="G9"/>
    </sheetView>
  </sheetViews>
  <sheetFormatPr defaultRowHeight="15"/>
  <cols>
    <col min="1" max="1" width="13.85546875" style="244" customWidth="1"/>
    <col min="2" max="2" width="4.140625" style="244" customWidth="1"/>
    <col min="3" max="3" width="5.85546875" style="244" customWidth="1"/>
    <col min="4" max="4" width="11.85546875" style="244" customWidth="1"/>
    <col min="5" max="5" width="23.5703125" style="244" customWidth="1"/>
    <col min="6" max="6" width="12.28515625" style="244" customWidth="1"/>
    <col min="7" max="7" width="16.140625" style="244" customWidth="1"/>
    <col min="8" max="8" width="3.7109375" style="244" customWidth="1"/>
    <col min="9" max="16384" width="9.140625" style="244"/>
  </cols>
  <sheetData>
    <row r="2" spans="2:10" ht="15.75" thickBot="1"/>
    <row r="3" spans="2:10" ht="15.75" thickTop="1">
      <c r="B3" s="228"/>
      <c r="C3" s="228"/>
      <c r="D3" s="228"/>
      <c r="E3" s="228"/>
      <c r="F3" s="228"/>
      <c r="G3" s="228"/>
      <c r="H3" s="228"/>
      <c r="J3" s="687" t="s">
        <v>243</v>
      </c>
    </row>
    <row r="4" spans="2:10" ht="15.75" thickBot="1">
      <c r="B4" s="228"/>
      <c r="C4" s="733" t="s">
        <v>48</v>
      </c>
      <c r="D4" s="733" t="s">
        <v>63</v>
      </c>
      <c r="E4" s="733" t="s">
        <v>54</v>
      </c>
      <c r="F4" s="733" t="s">
        <v>64</v>
      </c>
      <c r="G4" s="527" t="s">
        <v>274</v>
      </c>
      <c r="H4" s="228"/>
      <c r="J4" s="688"/>
    </row>
    <row r="5" spans="2:10" ht="15.75" thickBot="1">
      <c r="B5" s="228"/>
      <c r="C5" s="733"/>
      <c r="D5" s="733"/>
      <c r="E5" s="733"/>
      <c r="F5" s="733"/>
      <c r="G5" s="527"/>
      <c r="H5" s="228"/>
    </row>
    <row r="6" spans="2:10" ht="113.1" customHeight="1">
      <c r="B6" s="228"/>
      <c r="C6" s="20">
        <f>DataSiswa!A8</f>
        <v>1</v>
      </c>
      <c r="D6" s="264" t="str">
        <f>DataSiswa!B8</f>
        <v>9986980442</v>
      </c>
      <c r="E6" s="264" t="str">
        <f>DataSiswa!C8</f>
        <v>Aditya Taufik Sastra</v>
      </c>
      <c r="F6" s="265" t="str">
        <f>DataSiswa!D8</f>
        <v>Laki-laki</v>
      </c>
      <c r="G6" s="243"/>
      <c r="H6" s="228"/>
    </row>
    <row r="7" spans="2:10" ht="113.1" customHeight="1">
      <c r="B7" s="228"/>
      <c r="C7" s="20">
        <f>DataSiswa!A9</f>
        <v>2</v>
      </c>
      <c r="D7" s="264" t="str">
        <f>DataSiswa!B9</f>
        <v>9982907972</v>
      </c>
      <c r="E7" s="264" t="str">
        <f>DataSiswa!C9</f>
        <v>Angger Ghufron Pangestu</v>
      </c>
      <c r="F7" s="247" t="str">
        <f>DataSiswa!D9</f>
        <v>Laki-laki</v>
      </c>
      <c r="G7" s="243"/>
      <c r="H7" s="228"/>
    </row>
    <row r="8" spans="2:10" ht="113.1" customHeight="1">
      <c r="B8" s="228"/>
      <c r="C8" s="20">
        <f>DataSiswa!A10</f>
        <v>3</v>
      </c>
      <c r="D8" s="264" t="str">
        <f>DataSiswa!B10</f>
        <v>9983601594</v>
      </c>
      <c r="E8" s="264" t="str">
        <f>DataSiswa!C10</f>
        <v>Anjellia Novia Safitri</v>
      </c>
      <c r="F8" s="247" t="str">
        <f>DataSiswa!D10</f>
        <v>Perempuan</v>
      </c>
      <c r="G8" s="243"/>
      <c r="H8" s="228"/>
    </row>
    <row r="9" spans="2:10" ht="113.1" customHeight="1">
      <c r="B9" s="228"/>
      <c r="C9" s="20">
        <f>DataSiswa!A11</f>
        <v>4</v>
      </c>
      <c r="D9" s="264" t="str">
        <f>DataSiswa!B11</f>
        <v>9989091797</v>
      </c>
      <c r="E9" s="264" t="str">
        <f>DataSiswa!C11</f>
        <v>Azis Fahrozi</v>
      </c>
      <c r="F9" s="247" t="str">
        <f>DataSiswa!D11</f>
        <v>Laki-laki</v>
      </c>
      <c r="G9" s="243"/>
      <c r="H9" s="228"/>
    </row>
    <row r="10" spans="2:10" ht="113.1" customHeight="1">
      <c r="B10" s="228"/>
      <c r="C10" s="20">
        <f>DataSiswa!A12</f>
        <v>5</v>
      </c>
      <c r="D10" s="264" t="str">
        <f>DataSiswa!B12</f>
        <v>9989983501</v>
      </c>
      <c r="E10" s="264" t="str">
        <f>DataSiswa!C12</f>
        <v>Berliana Monica</v>
      </c>
      <c r="F10" s="247" t="str">
        <f>DataSiswa!D12</f>
        <v>Perempuan</v>
      </c>
      <c r="G10" s="243"/>
      <c r="H10" s="228"/>
    </row>
    <row r="11" spans="2:10" ht="113.1" customHeight="1">
      <c r="B11" s="228"/>
      <c r="C11" s="20">
        <f>DataSiswa!A13</f>
        <v>6</v>
      </c>
      <c r="D11" s="264" t="str">
        <f>DataSiswa!B13</f>
        <v>9970817548</v>
      </c>
      <c r="E11" s="264" t="str">
        <f>DataSiswa!C13</f>
        <v>Defri Nofriadi</v>
      </c>
      <c r="F11" s="247" t="str">
        <f>DataSiswa!D13</f>
        <v>Laki-laki</v>
      </c>
      <c r="G11" s="243"/>
      <c r="H11" s="228"/>
    </row>
    <row r="12" spans="2:10" ht="113.1" customHeight="1">
      <c r="B12" s="228"/>
      <c r="C12" s="20">
        <f>DataSiswa!A14</f>
        <v>7</v>
      </c>
      <c r="D12" s="264" t="str">
        <f>DataSiswa!B14</f>
        <v>9980817555</v>
      </c>
      <c r="E12" s="264" t="str">
        <f>DataSiswa!C14</f>
        <v>Dina Mardana Dulas</v>
      </c>
      <c r="F12" s="247" t="str">
        <f>DataSiswa!D14</f>
        <v>Perempuan</v>
      </c>
      <c r="G12" s="243"/>
      <c r="H12" s="228"/>
    </row>
    <row r="13" spans="2:10" ht="113.1" customHeight="1">
      <c r="B13" s="228"/>
      <c r="C13" s="20">
        <f>DataSiswa!A15</f>
        <v>8</v>
      </c>
      <c r="D13" s="264" t="str">
        <f>DataSiswa!B15</f>
        <v>9980817812</v>
      </c>
      <c r="E13" s="264" t="str">
        <f>DataSiswa!C15</f>
        <v>Famella Putriadi</v>
      </c>
      <c r="F13" s="247" t="str">
        <f>DataSiswa!D15</f>
        <v>Perempuan</v>
      </c>
      <c r="G13" s="243"/>
      <c r="H13" s="228"/>
    </row>
    <row r="14" spans="2:10" ht="113.1" customHeight="1">
      <c r="B14" s="228"/>
      <c r="C14" s="20">
        <f>DataSiswa!A16</f>
        <v>9</v>
      </c>
      <c r="D14" s="264" t="str">
        <f>DataSiswa!B16</f>
        <v>9986349049</v>
      </c>
      <c r="E14" s="264" t="str">
        <f>DataSiswa!C16</f>
        <v>Febrawati Fajlynd</v>
      </c>
      <c r="F14" s="247" t="str">
        <f>DataSiswa!D16</f>
        <v>Perempuan</v>
      </c>
      <c r="G14" s="243"/>
      <c r="H14" s="228"/>
    </row>
    <row r="15" spans="2:10" ht="113.1" customHeight="1">
      <c r="B15" s="228"/>
      <c r="C15" s="20">
        <f>DataSiswa!A17</f>
        <v>10</v>
      </c>
      <c r="D15" s="264" t="str">
        <f>DataSiswa!B17</f>
        <v>9980673410</v>
      </c>
      <c r="E15" s="264" t="str">
        <f>DataSiswa!C17</f>
        <v>Fierro Perdana Ibrahim</v>
      </c>
      <c r="F15" s="247" t="str">
        <f>DataSiswa!D17</f>
        <v>Laki-laki</v>
      </c>
      <c r="G15" s="243"/>
      <c r="H15" s="228"/>
    </row>
    <row r="16" spans="2:10" ht="113.1" customHeight="1">
      <c r="B16" s="228"/>
      <c r="C16" s="20">
        <f>DataSiswa!A18</f>
        <v>11</v>
      </c>
      <c r="D16" s="264" t="str">
        <f>DataSiswa!B18</f>
        <v>9980817833</v>
      </c>
      <c r="E16" s="264" t="str">
        <f>DataSiswa!C18</f>
        <v>Jihan Salsabilla</v>
      </c>
      <c r="F16" s="247" t="str">
        <f>DataSiswa!D18</f>
        <v>Perempuan</v>
      </c>
      <c r="G16" s="243"/>
      <c r="H16" s="228"/>
    </row>
    <row r="17" spans="2:8" ht="113.1" customHeight="1">
      <c r="B17" s="228"/>
      <c r="C17" s="20">
        <f>DataSiswa!A19</f>
        <v>12</v>
      </c>
      <c r="D17" s="264" t="str">
        <f>DataSiswa!B19</f>
        <v>9980065874</v>
      </c>
      <c r="E17" s="264" t="str">
        <f>DataSiswa!C19</f>
        <v>Karina Safira Rannas</v>
      </c>
      <c r="F17" s="247" t="str">
        <f>DataSiswa!D19</f>
        <v>Perempuan</v>
      </c>
      <c r="G17" s="243"/>
      <c r="H17" s="228"/>
    </row>
    <row r="18" spans="2:8" ht="113.1" customHeight="1">
      <c r="B18" s="228"/>
      <c r="C18" s="20">
        <f>DataSiswa!A20</f>
        <v>13</v>
      </c>
      <c r="D18" s="264" t="str">
        <f>DataSiswa!B20</f>
        <v>9970816998</v>
      </c>
      <c r="E18" s="264" t="str">
        <f>DataSiswa!C20</f>
        <v>Loura Oktaviola</v>
      </c>
      <c r="F18" s="247" t="str">
        <f>DataSiswa!D20</f>
        <v>Perempuan</v>
      </c>
      <c r="G18" s="243"/>
      <c r="H18" s="228"/>
    </row>
    <row r="19" spans="2:8" ht="113.1" customHeight="1">
      <c r="B19" s="228"/>
      <c r="C19" s="20">
        <f>DataSiswa!A21</f>
        <v>14</v>
      </c>
      <c r="D19" s="264" t="str">
        <f>DataSiswa!B21</f>
        <v>9982095456</v>
      </c>
      <c r="E19" s="264" t="str">
        <f>DataSiswa!C21</f>
        <v>Lauren Dwina Arini</v>
      </c>
      <c r="F19" s="247" t="str">
        <f>DataSiswa!D21</f>
        <v>Perempuan</v>
      </c>
      <c r="G19" s="243"/>
      <c r="H19" s="228"/>
    </row>
    <row r="20" spans="2:8" ht="113.1" customHeight="1">
      <c r="B20" s="228"/>
      <c r="C20" s="20">
        <f>DataSiswa!A22</f>
        <v>15</v>
      </c>
      <c r="D20" s="264" t="str">
        <f>DataSiswa!B22</f>
        <v>9980817839</v>
      </c>
      <c r="E20" s="264" t="str">
        <f>DataSiswa!C22</f>
        <v>Leoni Syagna Velia</v>
      </c>
      <c r="F20" s="247" t="str">
        <f>DataSiswa!D22</f>
        <v>Perempuan</v>
      </c>
      <c r="G20" s="243"/>
      <c r="H20" s="228"/>
    </row>
    <row r="21" spans="2:8" ht="113.1" customHeight="1">
      <c r="B21" s="228"/>
      <c r="C21" s="20">
        <f>DataSiswa!A23</f>
        <v>16</v>
      </c>
      <c r="D21" s="264" t="str">
        <f>DataSiswa!B23</f>
        <v>9982885002</v>
      </c>
      <c r="E21" s="264" t="str">
        <f>DataSiswa!C23</f>
        <v>Mia Larisa Waskito</v>
      </c>
      <c r="F21" s="247" t="str">
        <f>DataSiswa!D23</f>
        <v>Perempuan</v>
      </c>
      <c r="G21" s="243"/>
      <c r="H21" s="228"/>
    </row>
    <row r="22" spans="2:8" ht="113.1" customHeight="1">
      <c r="B22" s="228"/>
      <c r="C22" s="20">
        <f>DataSiswa!A24</f>
        <v>17</v>
      </c>
      <c r="D22" s="264" t="str">
        <f>DataSiswa!B24</f>
        <v>9983996707</v>
      </c>
      <c r="E22" s="264" t="str">
        <f>DataSiswa!C24</f>
        <v>Muhammad Fadel</v>
      </c>
      <c r="F22" s="247" t="str">
        <f>DataSiswa!D24</f>
        <v>Laki-laki</v>
      </c>
      <c r="G22" s="243"/>
      <c r="H22" s="228"/>
    </row>
    <row r="23" spans="2:8" ht="113.1" customHeight="1">
      <c r="B23" s="228"/>
      <c r="C23" s="20">
        <f>DataSiswa!A25</f>
        <v>18</v>
      </c>
      <c r="D23" s="264" t="str">
        <f>DataSiswa!B25</f>
        <v>9981328630</v>
      </c>
      <c r="E23" s="264" t="str">
        <f>DataSiswa!C25</f>
        <v>Muhammad Ilham Fajri</v>
      </c>
      <c r="F23" s="247" t="str">
        <f>DataSiswa!D25</f>
        <v>Laki-laki</v>
      </c>
      <c r="G23" s="243"/>
      <c r="H23" s="228"/>
    </row>
    <row r="24" spans="2:8" ht="113.1" customHeight="1">
      <c r="B24" s="228"/>
      <c r="C24" s="20">
        <f>DataSiswa!A26</f>
        <v>19</v>
      </c>
      <c r="D24" s="264" t="str">
        <f>DataSiswa!B26</f>
        <v>9980830799</v>
      </c>
      <c r="E24" s="264" t="str">
        <f>DataSiswa!C26</f>
        <v>Muhammad Irfan</v>
      </c>
      <c r="F24" s="247" t="str">
        <f>DataSiswa!D26</f>
        <v>Laki-laki</v>
      </c>
      <c r="G24" s="243"/>
      <c r="H24" s="228"/>
    </row>
    <row r="25" spans="2:8" ht="113.1" customHeight="1">
      <c r="B25" s="228"/>
      <c r="C25" s="20">
        <f>DataSiswa!A27</f>
        <v>20</v>
      </c>
      <c r="D25" s="264" t="str">
        <f>DataSiswa!B27</f>
        <v>9981704177</v>
      </c>
      <c r="E25" s="264" t="str">
        <f>DataSiswa!C27</f>
        <v>Naura Cantika</v>
      </c>
      <c r="F25" s="247" t="str">
        <f>DataSiswa!D27</f>
        <v>Perempuan</v>
      </c>
      <c r="G25" s="243"/>
      <c r="H25" s="228"/>
    </row>
    <row r="26" spans="2:8" ht="113.1" customHeight="1">
      <c r="B26" s="228"/>
      <c r="C26" s="20">
        <f>DataSiswa!A28</f>
        <v>21</v>
      </c>
      <c r="D26" s="264" t="str">
        <f>DataSiswa!B28</f>
        <v>9980810523</v>
      </c>
      <c r="E26" s="264" t="str">
        <f>DataSiswa!C28</f>
        <v>Nurul Putri Salsabila</v>
      </c>
      <c r="F26" s="247" t="str">
        <f>DataSiswa!D28</f>
        <v>Perempuan</v>
      </c>
      <c r="G26" s="243"/>
      <c r="H26" s="228"/>
    </row>
    <row r="27" spans="2:8" ht="113.1" customHeight="1">
      <c r="B27" s="228"/>
      <c r="C27" s="20">
        <f>DataSiswa!A29</f>
        <v>22</v>
      </c>
      <c r="D27" s="264" t="str">
        <f>DataSiswa!B29</f>
        <v>9998982066</v>
      </c>
      <c r="E27" s="264" t="str">
        <f>DataSiswa!C29</f>
        <v>Rafi Fikriya Riza</v>
      </c>
      <c r="F27" s="247" t="str">
        <f>DataSiswa!D29</f>
        <v>Laki-laki</v>
      </c>
      <c r="G27" s="243"/>
      <c r="H27" s="228"/>
    </row>
    <row r="28" spans="2:8" ht="113.1" customHeight="1">
      <c r="B28" s="228"/>
      <c r="C28" s="20">
        <f>DataSiswa!A30</f>
        <v>23</v>
      </c>
      <c r="D28" s="264" t="str">
        <f>DataSiswa!B30</f>
        <v>9985967994</v>
      </c>
      <c r="E28" s="264" t="str">
        <f>DataSiswa!C30</f>
        <v>Restu Tria Bahri</v>
      </c>
      <c r="F28" s="247" t="str">
        <f>DataSiswa!D30</f>
        <v>Perempuan</v>
      </c>
      <c r="G28" s="243"/>
      <c r="H28" s="228"/>
    </row>
    <row r="29" spans="2:8" ht="113.1" customHeight="1">
      <c r="B29" s="228"/>
      <c r="C29" s="20">
        <f>DataSiswa!A31</f>
        <v>24</v>
      </c>
      <c r="D29" s="264" t="str">
        <f>DataSiswa!B31</f>
        <v>9980799351</v>
      </c>
      <c r="E29" s="264" t="str">
        <f>DataSiswa!C31</f>
        <v>Rifka Esofita</v>
      </c>
      <c r="F29" s="247" t="str">
        <f>DataSiswa!D31</f>
        <v>Perempuan</v>
      </c>
      <c r="G29" s="243"/>
      <c r="H29" s="228"/>
    </row>
    <row r="30" spans="2:8" ht="113.1" customHeight="1">
      <c r="B30" s="228"/>
      <c r="C30" s="20">
        <f>DataSiswa!A32</f>
        <v>25</v>
      </c>
      <c r="D30" s="264" t="str">
        <f>DataSiswa!B32</f>
        <v>9982095495</v>
      </c>
      <c r="E30" s="264" t="str">
        <f>DataSiswa!C32</f>
        <v>Rifo Ranofan</v>
      </c>
      <c r="F30" s="247" t="str">
        <f>DataSiswa!D32</f>
        <v>Laki-laki</v>
      </c>
      <c r="G30" s="243"/>
      <c r="H30" s="228"/>
    </row>
    <row r="31" spans="2:8" ht="113.1" customHeight="1">
      <c r="B31" s="228"/>
      <c r="C31" s="20">
        <f>DataSiswa!A33</f>
        <v>26</v>
      </c>
      <c r="D31" s="264" t="str">
        <f>DataSiswa!B33</f>
        <v>9985858026</v>
      </c>
      <c r="E31" s="264" t="str">
        <f>DataSiswa!C33</f>
        <v>Stephany Widyanti</v>
      </c>
      <c r="F31" s="247" t="str">
        <f>DataSiswa!D33</f>
        <v>Perempuan</v>
      </c>
      <c r="G31" s="243"/>
      <c r="H31" s="228"/>
    </row>
    <row r="32" spans="2:8" ht="113.1" customHeight="1">
      <c r="B32" s="228"/>
      <c r="C32" s="20">
        <f>DataSiswa!A34</f>
        <v>27</v>
      </c>
      <c r="D32" s="264" t="str">
        <f>DataSiswa!B34</f>
        <v>9980818512</v>
      </c>
      <c r="E32" s="264" t="str">
        <f>DataSiswa!C34</f>
        <v>Tiara Yulianti</v>
      </c>
      <c r="F32" s="247" t="str">
        <f>DataSiswa!D34</f>
        <v>Perempuan</v>
      </c>
      <c r="G32" s="243"/>
      <c r="H32" s="228"/>
    </row>
    <row r="33" spans="2:8" ht="113.1" customHeight="1">
      <c r="B33" s="228"/>
      <c r="C33" s="20">
        <f>DataSiswa!A35</f>
        <v>28</v>
      </c>
      <c r="D33" s="264" t="str">
        <f>DataSiswa!B35</f>
        <v>9982393794</v>
      </c>
      <c r="E33" s="264" t="str">
        <f>DataSiswa!C35</f>
        <v>Tika Wandira</v>
      </c>
      <c r="F33" s="247" t="str">
        <f>DataSiswa!D35</f>
        <v>Perempuan</v>
      </c>
      <c r="G33" s="243"/>
      <c r="H33" s="228"/>
    </row>
    <row r="34" spans="2:8" ht="113.1" customHeight="1">
      <c r="B34" s="228"/>
      <c r="C34" s="20">
        <f>DataSiswa!A36</f>
        <v>29</v>
      </c>
      <c r="D34" s="264" t="str">
        <f>DataSiswa!B36</f>
        <v>9980818720</v>
      </c>
      <c r="E34" s="264" t="str">
        <f>DataSiswa!C36</f>
        <v>Ulfa Febriyani</v>
      </c>
      <c r="F34" s="247" t="str">
        <f>DataSiswa!D36</f>
        <v>Perempuan</v>
      </c>
      <c r="G34" s="243"/>
      <c r="H34" s="228"/>
    </row>
    <row r="35" spans="2:8" ht="113.1" customHeight="1">
      <c r="B35" s="228"/>
      <c r="C35" s="20">
        <f>DataSiswa!A37</f>
        <v>30</v>
      </c>
      <c r="D35" s="264" t="str">
        <f>DataSiswa!B37</f>
        <v>9990756408</v>
      </c>
      <c r="E35" s="264" t="str">
        <f>DataSiswa!C37</f>
        <v>Valdy Filando Sardi</v>
      </c>
      <c r="F35" s="247" t="str">
        <f>DataSiswa!D37</f>
        <v>Laki-laki</v>
      </c>
      <c r="G35" s="243"/>
      <c r="H35" s="228"/>
    </row>
    <row r="36" spans="2:8" ht="113.1" customHeight="1">
      <c r="B36" s="228"/>
      <c r="C36" s="20">
        <f>DataSiswa!A38</f>
        <v>31</v>
      </c>
      <c r="D36" s="264" t="str">
        <f>DataSiswa!B38</f>
        <v>9980816670</v>
      </c>
      <c r="E36" s="264" t="str">
        <f>DataSiswa!C38</f>
        <v>Vonny Maitaveri</v>
      </c>
      <c r="F36" s="247" t="str">
        <f>DataSiswa!D38</f>
        <v>Perempuan</v>
      </c>
      <c r="G36" s="243"/>
      <c r="H36" s="228"/>
    </row>
    <row r="37" spans="2:8" ht="113.1" customHeight="1">
      <c r="B37" s="228"/>
      <c r="C37" s="20">
        <f>DataSiswa!A39</f>
        <v>32</v>
      </c>
      <c r="D37" s="264" t="str">
        <f>DataSiswa!B39</f>
        <v>9982889268</v>
      </c>
      <c r="E37" s="264" t="str">
        <f>DataSiswa!C39</f>
        <v>Wahyu Yolanda</v>
      </c>
      <c r="F37" s="247" t="str">
        <f>DataSiswa!D39</f>
        <v>Perempuan</v>
      </c>
      <c r="G37" s="243"/>
      <c r="H37" s="228"/>
    </row>
    <row r="38" spans="2:8" ht="113.1" customHeight="1">
      <c r="B38" s="228"/>
      <c r="C38" s="20">
        <f>DataSiswa!A40</f>
        <v>33</v>
      </c>
      <c r="D38" s="264">
        <f>DataSiswa!B40</f>
        <v>0</v>
      </c>
      <c r="E38" s="264">
        <f>DataSiswa!C40</f>
        <v>0</v>
      </c>
      <c r="F38" s="247">
        <f>DataSiswa!D40</f>
        <v>0</v>
      </c>
      <c r="G38" s="243"/>
      <c r="H38" s="228"/>
    </row>
    <row r="39" spans="2:8" ht="113.1" customHeight="1">
      <c r="B39" s="228"/>
      <c r="C39" s="20">
        <f>DataSiswa!A41</f>
        <v>34</v>
      </c>
      <c r="D39" s="264">
        <f>DataSiswa!B41</f>
        <v>0</v>
      </c>
      <c r="E39" s="264">
        <f>DataSiswa!C41</f>
        <v>0</v>
      </c>
      <c r="F39" s="247">
        <f>DataSiswa!D41</f>
        <v>0</v>
      </c>
      <c r="G39" s="243"/>
      <c r="H39" s="228"/>
    </row>
    <row r="40" spans="2:8" ht="113.1" customHeight="1">
      <c r="B40" s="228"/>
      <c r="C40" s="20">
        <f>DataSiswa!A42</f>
        <v>35</v>
      </c>
      <c r="D40" s="264">
        <f>DataSiswa!B42</f>
        <v>0</v>
      </c>
      <c r="E40" s="264">
        <f>DataSiswa!C42</f>
        <v>0</v>
      </c>
      <c r="F40" s="247">
        <f>DataSiswa!D42</f>
        <v>0</v>
      </c>
      <c r="G40" s="243"/>
      <c r="H40" s="228"/>
    </row>
    <row r="41" spans="2:8" ht="113.1" customHeight="1">
      <c r="B41" s="228"/>
      <c r="C41" s="20">
        <f>DataSiswa!A43</f>
        <v>36</v>
      </c>
      <c r="D41" s="264">
        <f>DataSiswa!B43</f>
        <v>0</v>
      </c>
      <c r="E41" s="264">
        <f>DataSiswa!C43</f>
        <v>0</v>
      </c>
      <c r="F41" s="247">
        <f>DataSiswa!D43</f>
        <v>0</v>
      </c>
      <c r="G41" s="243"/>
      <c r="H41" s="228"/>
    </row>
    <row r="42" spans="2:8" ht="113.1" customHeight="1">
      <c r="B42" s="228"/>
      <c r="C42" s="20">
        <f>DataSiswa!A44</f>
        <v>37</v>
      </c>
      <c r="D42" s="264">
        <f>DataSiswa!B44</f>
        <v>0</v>
      </c>
      <c r="E42" s="264">
        <f>DataSiswa!C44</f>
        <v>0</v>
      </c>
      <c r="F42" s="247">
        <f>DataSiswa!D44</f>
        <v>0</v>
      </c>
      <c r="G42" s="243"/>
      <c r="H42" s="228"/>
    </row>
    <row r="43" spans="2:8" ht="113.1" customHeight="1">
      <c r="B43" s="228"/>
      <c r="C43" s="20">
        <f>DataSiswa!A45</f>
        <v>38</v>
      </c>
      <c r="D43" s="264">
        <f>DataSiswa!B45</f>
        <v>0</v>
      </c>
      <c r="E43" s="264">
        <f>DataSiswa!C45</f>
        <v>0</v>
      </c>
      <c r="F43" s="247">
        <f>DataSiswa!D45</f>
        <v>0</v>
      </c>
      <c r="G43" s="243"/>
      <c r="H43" s="228"/>
    </row>
    <row r="44" spans="2:8" ht="113.1" customHeight="1">
      <c r="B44" s="228"/>
      <c r="C44" s="20">
        <f>DataSiswa!A46</f>
        <v>39</v>
      </c>
      <c r="D44" s="264">
        <f>DataSiswa!B46</f>
        <v>0</v>
      </c>
      <c r="E44" s="264">
        <f>DataSiswa!C46</f>
        <v>0</v>
      </c>
      <c r="F44" s="247">
        <f>DataSiswa!D46</f>
        <v>0</v>
      </c>
      <c r="G44" s="243"/>
      <c r="H44" s="228"/>
    </row>
    <row r="45" spans="2:8" ht="113.1" customHeight="1">
      <c r="B45" s="228"/>
      <c r="C45" s="20">
        <f>DataSiswa!A47</f>
        <v>40</v>
      </c>
      <c r="D45" s="264">
        <f>DataSiswa!B47</f>
        <v>0</v>
      </c>
      <c r="E45" s="264">
        <f>DataSiswa!C47</f>
        <v>0</v>
      </c>
      <c r="F45" s="247">
        <f>DataSiswa!D47</f>
        <v>0</v>
      </c>
      <c r="G45" s="243"/>
      <c r="H45" s="228"/>
    </row>
    <row r="46" spans="2:8">
      <c r="B46" s="228"/>
      <c r="C46" s="228"/>
      <c r="D46" s="228"/>
      <c r="E46" s="228"/>
      <c r="F46" s="228"/>
      <c r="G46" s="228"/>
      <c r="H46" s="228"/>
    </row>
  </sheetData>
  <mergeCells count="6">
    <mergeCell ref="C4:C5"/>
    <mergeCell ref="D4:D5"/>
    <mergeCell ref="E4:E5"/>
    <mergeCell ref="F4:F5"/>
    <mergeCell ref="J3:J4"/>
    <mergeCell ref="G4:G5"/>
  </mergeCells>
  <hyperlinks>
    <hyperlink ref="J3:J4" location="UTAMA!A1" display="MENU"/>
  </hyperlinks>
  <pageMargins left="0.7" right="0.7" top="0.75" bottom="0.75" header="0.3" footer="0.3"/>
  <pageSetup orientation="portrait" horizontalDpi="4294967293" verticalDpi="4294967293"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D30"/>
  <sheetViews>
    <sheetView topLeftCell="A10" workbookViewId="0">
      <selection activeCell="B14" sqref="B14"/>
    </sheetView>
  </sheetViews>
  <sheetFormatPr defaultRowHeight="15"/>
  <cols>
    <col min="1" max="1" width="22.140625" customWidth="1"/>
    <col min="2" max="2" width="67.42578125" customWidth="1"/>
    <col min="3" max="4" width="9.140625" customWidth="1"/>
  </cols>
  <sheetData>
    <row r="1" spans="1:4" ht="35.1" customHeight="1">
      <c r="A1" s="734" t="s">
        <v>349</v>
      </c>
      <c r="B1" s="734"/>
      <c r="C1" s="321"/>
      <c r="D1" s="321"/>
    </row>
    <row r="2" spans="1:4" ht="35.1" customHeight="1">
      <c r="A2" s="734" t="s">
        <v>350</v>
      </c>
      <c r="B2" s="734"/>
      <c r="C2" s="321"/>
      <c r="D2" s="321"/>
    </row>
    <row r="3" spans="1:4" ht="35.1" customHeight="1">
      <c r="A3" s="734" t="s">
        <v>305</v>
      </c>
      <c r="B3" s="734"/>
      <c r="C3" s="321"/>
      <c r="D3" s="321"/>
    </row>
    <row r="4" spans="1:4" ht="35.1" customHeight="1">
      <c r="A4" s="734" t="s">
        <v>306</v>
      </c>
      <c r="B4" s="734"/>
      <c r="C4" s="321"/>
      <c r="D4" s="321"/>
    </row>
    <row r="5" spans="1:4" ht="30" customHeight="1">
      <c r="A5" s="370"/>
      <c r="B5" s="370"/>
      <c r="C5" s="321"/>
      <c r="D5" s="321"/>
    </row>
    <row r="6" spans="1:4" ht="39.950000000000003" customHeight="1">
      <c r="A6" s="370" t="s">
        <v>1</v>
      </c>
      <c r="B6" s="370" t="s">
        <v>358</v>
      </c>
      <c r="C6" s="321"/>
      <c r="D6" s="321"/>
    </row>
    <row r="7" spans="1:4" ht="39.950000000000003" customHeight="1">
      <c r="A7" s="370" t="s">
        <v>351</v>
      </c>
      <c r="B7" s="370" t="s">
        <v>366</v>
      </c>
      <c r="C7" s="321"/>
      <c r="D7" s="321"/>
    </row>
    <row r="8" spans="1:4" ht="39.950000000000003" customHeight="1">
      <c r="A8" s="370" t="s">
        <v>2</v>
      </c>
      <c r="B8" s="370" t="s">
        <v>360</v>
      </c>
      <c r="C8" s="321"/>
      <c r="D8" s="321"/>
    </row>
    <row r="9" spans="1:4" ht="39.950000000000003" customHeight="1">
      <c r="A9" s="370"/>
      <c r="B9" s="370" t="s">
        <v>361</v>
      </c>
      <c r="C9" s="321"/>
      <c r="D9" s="321"/>
    </row>
    <row r="10" spans="1:4" ht="39.950000000000003" customHeight="1">
      <c r="A10" s="370" t="s">
        <v>352</v>
      </c>
      <c r="B10" s="370" t="s">
        <v>362</v>
      </c>
      <c r="C10" s="321"/>
      <c r="D10" s="321"/>
    </row>
    <row r="11" spans="1:4" ht="39.950000000000003" customHeight="1">
      <c r="A11" s="370" t="s">
        <v>353</v>
      </c>
      <c r="B11" s="370" t="s">
        <v>362</v>
      </c>
      <c r="C11" s="321"/>
      <c r="D11" s="321"/>
    </row>
    <row r="12" spans="1:4" ht="39.950000000000003" customHeight="1">
      <c r="A12" s="370" t="s">
        <v>354</v>
      </c>
      <c r="B12" s="370" t="s">
        <v>363</v>
      </c>
      <c r="C12" s="321"/>
      <c r="D12" s="321"/>
    </row>
    <row r="13" spans="1:4" ht="39.950000000000003" customHeight="1">
      <c r="A13" s="370" t="s">
        <v>355</v>
      </c>
      <c r="B13" s="370" t="s">
        <v>364</v>
      </c>
      <c r="C13" s="321"/>
      <c r="D13" s="321"/>
    </row>
    <row r="14" spans="1:4" ht="39.950000000000003" customHeight="1">
      <c r="A14" s="370" t="s">
        <v>356</v>
      </c>
      <c r="B14" s="370" t="s">
        <v>359</v>
      </c>
      <c r="C14" s="321"/>
      <c r="D14" s="321"/>
    </row>
    <row r="15" spans="1:4" ht="39.950000000000003" customHeight="1">
      <c r="A15" s="370" t="s">
        <v>357</v>
      </c>
      <c r="B15" s="370" t="s">
        <v>365</v>
      </c>
      <c r="C15" s="321"/>
      <c r="D15" s="321"/>
    </row>
    <row r="16" spans="1:4">
      <c r="A16" s="371"/>
      <c r="B16" s="371"/>
      <c r="C16" s="321"/>
      <c r="D16" s="321"/>
    </row>
    <row r="17" spans="1:4">
      <c r="A17" s="371"/>
      <c r="B17" s="371"/>
      <c r="C17" s="321"/>
      <c r="D17" s="321"/>
    </row>
    <row r="18" spans="1:4">
      <c r="A18" s="371"/>
      <c r="B18" s="371"/>
      <c r="C18" s="321"/>
      <c r="D18" s="321"/>
    </row>
    <row r="19" spans="1:4">
      <c r="A19" s="371"/>
      <c r="B19" s="371"/>
      <c r="C19" s="321"/>
      <c r="D19" s="321"/>
    </row>
    <row r="20" spans="1:4">
      <c r="A20" s="371"/>
      <c r="B20" s="371"/>
      <c r="C20" s="321"/>
      <c r="D20" s="321"/>
    </row>
    <row r="21" spans="1:4">
      <c r="A21" s="371"/>
      <c r="B21" s="371"/>
      <c r="C21" s="321"/>
      <c r="D21" s="321"/>
    </row>
    <row r="22" spans="1:4">
      <c r="A22" s="371"/>
      <c r="B22" s="371"/>
      <c r="C22" s="321"/>
      <c r="D22" s="321"/>
    </row>
    <row r="23" spans="1:4">
      <c r="A23" s="321"/>
      <c r="B23" s="321"/>
      <c r="C23" s="321"/>
      <c r="D23" s="321"/>
    </row>
    <row r="24" spans="1:4">
      <c r="A24" s="321"/>
      <c r="B24" s="321"/>
      <c r="C24" s="321"/>
      <c r="D24" s="321"/>
    </row>
    <row r="25" spans="1:4">
      <c r="A25" s="321"/>
      <c r="B25" s="321"/>
      <c r="C25" s="321"/>
      <c r="D25" s="321"/>
    </row>
    <row r="26" spans="1:4">
      <c r="A26" s="321"/>
      <c r="B26" s="321"/>
      <c r="C26" s="321"/>
      <c r="D26" s="321"/>
    </row>
    <row r="27" spans="1:4">
      <c r="A27" s="321"/>
      <c r="B27" s="321"/>
      <c r="C27" s="321"/>
      <c r="D27" s="321"/>
    </row>
    <row r="28" spans="1:4">
      <c r="A28" s="321"/>
      <c r="B28" s="321"/>
      <c r="C28" s="321"/>
      <c r="D28" s="321"/>
    </row>
    <row r="29" spans="1:4">
      <c r="A29" s="321"/>
      <c r="B29" s="321"/>
      <c r="C29" s="321"/>
      <c r="D29" s="321"/>
    </row>
    <row r="30" spans="1:4">
      <c r="A30" s="321"/>
      <c r="B30" s="321"/>
      <c r="C30" s="321"/>
      <c r="D30" s="321"/>
    </row>
  </sheetData>
  <mergeCells count="4">
    <mergeCell ref="A3:B3"/>
    <mergeCell ref="A4:B4"/>
    <mergeCell ref="A1:B1"/>
    <mergeCell ref="A2:B2"/>
  </mergeCells>
  <printOptions horizontalCentered="1"/>
  <pageMargins left="1.2" right="0.25" top="1" bottom="0.75" header="0.3" footer="0.3"/>
  <pageSetup orientation="portrait" horizontalDpi="4294967293" verticalDpi="4294967293"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O19" sqref="O19"/>
    </sheetView>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8</vt:i4>
      </vt:variant>
    </vt:vector>
  </HeadingPairs>
  <TitlesOfParts>
    <vt:vector size="41" baseType="lpstr">
      <vt:lpstr>UTAMA</vt:lpstr>
      <vt:lpstr>DataGuru</vt:lpstr>
      <vt:lpstr>DataSiswa</vt:lpstr>
      <vt:lpstr>Ekskur</vt:lpstr>
      <vt:lpstr>NILAI</vt:lpstr>
      <vt:lpstr>Absen</vt:lpstr>
      <vt:lpstr>AG</vt:lpstr>
      <vt:lpstr>PPKN</vt:lpstr>
      <vt:lpstr>B.ind</vt:lpstr>
      <vt:lpstr>Mat W</vt:lpstr>
      <vt:lpstr>Sej</vt:lpstr>
      <vt:lpstr>B.Ing</vt:lpstr>
      <vt:lpstr>Seni</vt:lpstr>
      <vt:lpstr>Jas</vt:lpstr>
      <vt:lpstr>Pra</vt:lpstr>
      <vt:lpstr>Mat P</vt:lpstr>
      <vt:lpstr>Bio</vt:lpstr>
      <vt:lpstr>Fis</vt:lpstr>
      <vt:lpstr>Kim</vt:lpstr>
      <vt:lpstr>Eko (LM)</vt:lpstr>
      <vt:lpstr>Lin2</vt:lpstr>
      <vt:lpstr>KEP</vt:lpstr>
      <vt:lpstr>Sampul</vt:lpstr>
      <vt:lpstr>Petunjuk</vt:lpstr>
      <vt:lpstr>DIRI</vt:lpstr>
      <vt:lpstr>RAP13</vt:lpstr>
      <vt:lpstr>Deskripsi</vt:lpstr>
      <vt:lpstr>LEGER</vt:lpstr>
      <vt:lpstr>RANK</vt:lpstr>
      <vt:lpstr>Kon</vt:lpstr>
      <vt:lpstr>Photo</vt:lpstr>
      <vt:lpstr>Data Sekolah</vt:lpstr>
      <vt:lpstr>Sheet1</vt:lpstr>
      <vt:lpstr>Absen!Print_Area</vt:lpstr>
      <vt:lpstr>AG!Print_Area</vt:lpstr>
      <vt:lpstr>Deskripsi!Print_Area</vt:lpstr>
      <vt:lpstr>DIRI!Print_Area</vt:lpstr>
      <vt:lpstr>KEP!Print_Area</vt:lpstr>
      <vt:lpstr>LEGER!Print_Area</vt:lpstr>
      <vt:lpstr>RANK!Print_Area</vt:lpstr>
      <vt:lpstr>'RAP13'!Print_Area</vt:lpstr>
    </vt:vector>
  </TitlesOfParts>
  <Company>SEBULU</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MUKHLIS;dzulfikar</dc:creator>
  <cp:lastModifiedBy>PC</cp:lastModifiedBy>
  <cp:lastPrinted>2016-02-23T08:38:29Z</cp:lastPrinted>
  <dcterms:created xsi:type="dcterms:W3CDTF">2009-05-11T18:00:13Z</dcterms:created>
  <dcterms:modified xsi:type="dcterms:W3CDTF">2016-02-23T08:38:47Z</dcterms:modified>
</cp:coreProperties>
</file>